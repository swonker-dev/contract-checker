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_Study_\5 семестр\ПД\"/>
    </mc:Choice>
  </mc:AlternateContent>
  <xr:revisionPtr revIDLastSave="0" documentId="8_{E3497262-1EB5-47EF-A4FC-645AF015D08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Паспорт проекта" sheetId="1" r:id="rId1"/>
    <sheet name="Приложение 1. Контрольные точки" sheetId="3" r:id="rId2"/>
    <sheet name="Приложение 2. Ресурсы проекта" sheetId="7" r:id="rId3"/>
    <sheet name="Приложение 3. Рабочая группа" sheetId="2" r:id="rId4"/>
    <sheet name="Приложение 4. Дорожная карта" sheetId="4" r:id="rId5"/>
    <sheet name="Приложение 5. Смета" sheetId="6" r:id="rId6"/>
    <sheet name="Дополнительные результаты" sheetId="5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02" i="2" l="1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M4" i="6" l="1"/>
  <c r="J4" i="2" l="1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H3" i="2"/>
  <c r="M3" i="4"/>
  <c r="I3" i="2" s="1"/>
  <c r="J3" i="2" s="1"/>
  <c r="G42" i="6" l="1"/>
  <c r="G41" i="6"/>
  <c r="G40" i="6"/>
  <c r="G39" i="6"/>
  <c r="G38" i="6"/>
  <c r="G37" i="6"/>
  <c r="G36" i="6"/>
  <c r="G35" i="6"/>
  <c r="G34" i="6"/>
  <c r="G33" i="6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M6" i="6" s="1"/>
  <c r="G4" i="6"/>
  <c r="M7" i="6" s="1"/>
  <c r="G3" i="6"/>
  <c r="M5" i="6" s="1"/>
  <c r="G2" i="6"/>
  <c r="M3" i="6" s="1"/>
  <c r="K52" i="4"/>
  <c r="H52" i="4"/>
  <c r="K51" i="4"/>
  <c r="H51" i="4"/>
  <c r="K50" i="4"/>
  <c r="H50" i="4"/>
  <c r="K49" i="4"/>
  <c r="H49" i="4"/>
  <c r="K48" i="4"/>
  <c r="H48" i="4"/>
  <c r="K47" i="4"/>
  <c r="H47" i="4"/>
  <c r="K46" i="4"/>
  <c r="H46" i="4"/>
  <c r="K45" i="4"/>
  <c r="H45" i="4"/>
  <c r="K44" i="4"/>
  <c r="H44" i="4"/>
  <c r="K43" i="4"/>
  <c r="H43" i="4"/>
  <c r="K42" i="4"/>
  <c r="H42" i="4"/>
  <c r="K41" i="4"/>
  <c r="H41" i="4"/>
  <c r="K40" i="4"/>
  <c r="H40" i="4"/>
  <c r="K39" i="4"/>
  <c r="H39" i="4"/>
  <c r="K38" i="4"/>
  <c r="H38" i="4"/>
  <c r="K37" i="4"/>
  <c r="H37" i="4"/>
  <c r="K36" i="4"/>
  <c r="H36" i="4"/>
  <c r="K35" i="4"/>
  <c r="H35" i="4"/>
  <c r="K34" i="4"/>
  <c r="H34" i="4"/>
  <c r="K33" i="4"/>
  <c r="H33" i="4"/>
  <c r="K32" i="4"/>
  <c r="H32" i="4"/>
  <c r="K31" i="4"/>
  <c r="H31" i="4"/>
  <c r="K30" i="4"/>
  <c r="H30" i="4"/>
  <c r="K29" i="4"/>
  <c r="H29" i="4"/>
  <c r="K28" i="4"/>
  <c r="H28" i="4"/>
  <c r="K27" i="4"/>
  <c r="H27" i="4"/>
  <c r="K26" i="4"/>
  <c r="H26" i="4"/>
  <c r="K25" i="4"/>
  <c r="H25" i="4"/>
  <c r="K24" i="4"/>
  <c r="H24" i="4"/>
  <c r="K23" i="4"/>
  <c r="H23" i="4"/>
  <c r="K22" i="4"/>
  <c r="H22" i="4"/>
  <c r="K21" i="4"/>
  <c r="H21" i="4"/>
  <c r="K20" i="4"/>
  <c r="H20" i="4"/>
  <c r="K19" i="4"/>
  <c r="H19" i="4"/>
  <c r="K18" i="4"/>
  <c r="H18" i="4"/>
  <c r="K17" i="4"/>
  <c r="H17" i="4"/>
  <c r="K16" i="4"/>
  <c r="H16" i="4"/>
  <c r="K15" i="4"/>
  <c r="H15" i="4"/>
  <c r="K14" i="4"/>
  <c r="H14" i="4"/>
  <c r="K13" i="4"/>
  <c r="H13" i="4"/>
  <c r="K12" i="4"/>
  <c r="H12" i="4"/>
  <c r="K11" i="4"/>
  <c r="H11" i="4"/>
  <c r="K10" i="4"/>
  <c r="H10" i="4"/>
  <c r="K8" i="4"/>
  <c r="H8" i="4"/>
  <c r="K7" i="4"/>
  <c r="H7" i="4"/>
  <c r="K6" i="4"/>
  <c r="H6" i="4"/>
  <c r="K5" i="4"/>
  <c r="H5" i="4"/>
  <c r="K4" i="4"/>
  <c r="H4" i="4"/>
  <c r="K3" i="4"/>
  <c r="H3" i="4"/>
  <c r="M2" i="6" l="1"/>
  <c r="O3" i="6" s="1"/>
  <c r="O7" i="6" l="1"/>
  <c r="O6" i="6"/>
  <c r="O5" i="6"/>
  <c r="O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Corvin</author>
    <author/>
  </authors>
  <commentList>
    <comment ref="A3" authorId="0" shapeId="0" xr:uid="{00000000-0006-0000-0000-000001000000}">
      <text>
        <r>
          <rPr>
            <sz val="12"/>
            <color indexed="81"/>
            <rFont val="Times New Roman"/>
            <family val="1"/>
            <charset val="204"/>
          </rPr>
          <t>Стратегическая цель, политика программы развития, степень влияния (1 – 5)
Пример:
NPS партнёров, степень влияния – 5</t>
        </r>
      </text>
    </comment>
    <comment ref="A12" authorId="0" shapeId="0" xr:uid="{00000000-0006-0000-0000-000002000000}">
      <text>
        <r>
          <rPr>
            <sz val="12"/>
            <color indexed="81"/>
            <rFont val="Times New Roman"/>
            <family val="1"/>
            <charset val="204"/>
          </rPr>
          <t>Например:
Снизить среднюю просрочку исполнения проектов до 95% к 01.01.2026.</t>
        </r>
      </text>
    </comment>
    <comment ref="A26" authorId="1" shapeId="0" xr:uid="{00000000-0006-0000-0000-000003000000}">
      <text>
        <r>
          <rPr>
            <sz val="12"/>
            <color rgb="FF000000"/>
            <rFont val="Times New Roman"/>
            <family val="1"/>
            <charset val="204"/>
          </rPr>
          <t>Например:
– производительность не менее 10 кг/ч
– электрическая мощность не более 2 кВт
– удобство использования программного продукта пользователями в среднем не менее 7 баллов из 10
– рост суточной посещаемости сайта на 90%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2" authorId="0" shapeId="0" xr:uid="{00000000-0006-0000-0300-000001000000}">
      <text>
        <r>
          <rPr>
            <sz val="10"/>
            <color rgb="FF000000"/>
            <rFont val="Arial"/>
            <family val="2"/>
            <charset val="204"/>
            <scheme val="minor"/>
          </rPr>
          <t>Максимальное кол-во баллов, который мог бы получить студент в случае выполнения всех своих задач</t>
        </r>
      </text>
    </comment>
    <comment ref="I2" authorId="0" shapeId="0" xr:uid="{00000000-0006-0000-0300-000002000000}">
      <text>
        <r>
          <rPr>
            <sz val="10"/>
            <color rgb="FF000000"/>
            <rFont val="Arial"/>
            <family val="2"/>
            <charset val="204"/>
            <scheme val="minor"/>
          </rPr>
          <t>Действительное кол-во баллов, который студент получил за выполненные задачи</t>
        </r>
      </text>
    </comment>
    <comment ref="J2" authorId="0" shapeId="0" xr:uid="{00000000-0006-0000-0300-000003000000}">
      <text>
        <r>
          <rPr>
            <sz val="10"/>
            <color rgb="FF000000"/>
            <rFont val="Arial"/>
            <family val="2"/>
            <charset val="204"/>
            <scheme val="minor"/>
          </rPr>
          <t>Сумма с учетом индивидуальных надбавок (надбавка не применяется в случае отсутствия основных достижений)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" authorId="0" shapeId="0" xr:uid="{00000000-0006-0000-0400-000001000000}">
      <text>
        <r>
          <rPr>
            <sz val="10"/>
            <color rgb="FF000000"/>
            <rFont val="Arial"/>
            <family val="2"/>
            <charset val="204"/>
            <scheme val="minor"/>
          </rPr>
          <t>Одна задача = один исполнитель. Если исполнителей оказалось больше — нужно разбить задачу на подзадачи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00000000-0006-0000-0500-000001000000}">
      <text>
        <r>
          <rPr>
            <sz val="10"/>
            <color rgb="FF000000"/>
            <rFont val="Arial"/>
            <family val="2"/>
            <charset val="204"/>
            <scheme val="minor"/>
          </rPr>
          <t>Введите полное наименование товара</t>
        </r>
      </text>
    </comment>
    <comment ref="C1" authorId="0" shapeId="0" xr:uid="{00000000-0006-0000-0500-000002000000}">
      <text>
        <r>
          <rPr>
            <sz val="10"/>
            <color rgb="FF000000"/>
            <rFont val="Arial"/>
            <family val="2"/>
            <charset val="204"/>
            <scheme val="minor"/>
          </rPr>
          <t>Введите точную гиперссылку на товар</t>
        </r>
      </text>
    </comment>
    <comment ref="H1" authorId="0" shapeId="0" xr:uid="{00000000-0006-0000-0500-000003000000}">
      <text>
        <r>
          <rPr>
            <sz val="10"/>
            <color rgb="FF000000"/>
            <rFont val="Arial"/>
            <family val="2"/>
            <charset val="204"/>
            <scheme val="minor"/>
          </rPr>
          <t>Указывается цифровой код товара по ОКПД — Общероссийскому классификатору продукции по видам экономической деятельности. Определить код очень просто: достаточно зайти в Интернет и в поисковой строке задать текст: "ОКПД-2 + название позиции".</t>
        </r>
      </text>
    </comment>
    <comment ref="I1" authorId="0" shapeId="0" xr:uid="{00000000-0006-0000-0500-000004000000}">
      <text>
        <r>
          <rPr>
            <sz val="10"/>
            <color rgb="FF000000"/>
            <rFont val="Arial"/>
            <family val="2"/>
            <charset val="204"/>
            <scheme val="minor"/>
          </rPr>
          <t>Максимально конкретно (от этого зависит, что именно будет в итоге приобретено) прописываются характеристики товара (без указания марки товара) в следующем формате: Труба круглая бесшовная; материал: сплав Д16Т; диаметр: 6 мм; толщина стенки: 1 мм; длина: от 3020 до 3050 мм.</t>
        </r>
      </text>
    </comment>
    <comment ref="L7" authorId="0" shapeId="0" xr:uid="{00000000-0006-0000-0500-000005000000}">
      <text>
        <r>
          <rPr>
            <sz val="10"/>
            <color rgb="FF000000"/>
            <rFont val="Arial"/>
            <family val="2"/>
            <charset val="204"/>
            <scheme val="minor"/>
          </rPr>
          <t>Вложенные личные средства</t>
        </r>
      </text>
    </comment>
  </commentList>
</comments>
</file>

<file path=xl/sharedStrings.xml><?xml version="1.0" encoding="utf-8"?>
<sst xmlns="http://schemas.openxmlformats.org/spreadsheetml/2006/main" count="354" uniqueCount="186">
  <si>
    <t>Заказчик проекта</t>
  </si>
  <si>
    <t>ФИО, должность</t>
  </si>
  <si>
    <t>Руководитель проекта</t>
  </si>
  <si>
    <t>ФИО</t>
  </si>
  <si>
    <t>Инфраструктурные ресурсы</t>
  </si>
  <si>
    <t>Кадровые ресурсы</t>
  </si>
  <si>
    <t>Ограничения по срокам</t>
  </si>
  <si>
    <t>План контрольных точек проекта (прилагается)</t>
  </si>
  <si>
    <t>1.</t>
  </si>
  <si>
    <t>2.</t>
  </si>
  <si>
    <t>3.</t>
  </si>
  <si>
    <t>4.</t>
  </si>
  <si>
    <t>5.</t>
  </si>
  <si>
    <t>№№
п/п</t>
  </si>
  <si>
    <t>Учебная
группа</t>
  </si>
  <si>
    <t>Рабочая группа</t>
  </si>
  <si>
    <t>Индивидуальная надбавка за особые достижения</t>
  </si>
  <si>
    <t>Баллы (из дорожной карты)</t>
  </si>
  <si>
    <t>Баллы
(до 10)</t>
  </si>
  <si>
    <t>Обоснование</t>
  </si>
  <si>
    <t>Максимум</t>
  </si>
  <si>
    <t>Факт</t>
  </si>
  <si>
    <t>Итого</t>
  </si>
  <si>
    <t>№</t>
  </si>
  <si>
    <t>Контрольная точка</t>
  </si>
  <si>
    <t>Срок достижения</t>
  </si>
  <si>
    <t>Ответственный исполнитель</t>
  </si>
  <si>
    <t>Задачи и подзадачи</t>
  </si>
  <si>
    <t>Ответственный (студент)</t>
  </si>
  <si>
    <t>Исполнитель (студент)</t>
  </si>
  <si>
    <t>Стоимость задачи в баллах</t>
  </si>
  <si>
    <t>План</t>
  </si>
  <si>
    <t>Задача выполнена</t>
  </si>
  <si>
    <t>пн</t>
  </si>
  <si>
    <t>вт</t>
  </si>
  <si>
    <t>ср</t>
  </si>
  <si>
    <t>чт</t>
  </si>
  <si>
    <t>пт</t>
  </si>
  <si>
    <t>сб</t>
  </si>
  <si>
    <t>вс</t>
  </si>
  <si>
    <t>Старт</t>
  </si>
  <si>
    <t>Финиш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</si>
  <si>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</si>
  <si>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</si>
  <si>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</si>
  <si>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</si>
  <si>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</si>
  <si>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</si>
  <si>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</si>
  <si>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</si>
  <si>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</si>
  <si>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</si>
  <si>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</si>
  <si>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</si>
  <si>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</si>
  <si>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</si>
  <si>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</si>
  <si>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</si>
  <si>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</si>
  <si>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</si>
  <si>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</si>
  <si>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</si>
  <si>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</si>
  <si>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</si>
  <si>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</si>
  <si>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</si>
  <si>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</si>
  <si>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</si>
  <si>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</si>
  <si>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</si>
  <si>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</si>
  <si>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</si>
  <si>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</si>
  <si>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</si>
  <si>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</si>
  <si>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</si>
  <si>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</si>
  <si>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</si>
  <si>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</si>
  <si>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</si>
  <si>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</si>
  <si>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</si>
  <si>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</si>
  <si>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</si>
  <si>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</si>
  <si>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</si>
  <si>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</si>
  <si>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</si>
  <si>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</si>
  <si>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</si>
  <si>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</si>
  <si>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</si>
  <si>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№ события</t>
  </si>
  <si>
    <t>Конкурсы</t>
  </si>
  <si>
    <t>наименование ведомства, программы, лота, конкурса</t>
  </si>
  <si>
    <t>название проекта, регистрационный номер, дата подачи</t>
  </si>
  <si>
    <t>сумма гранта</t>
  </si>
  <si>
    <t>электронная ссылка на документ заявки в папке проекта</t>
  </si>
  <si>
    <t>Статьи</t>
  </si>
  <si>
    <t>уровень статьи</t>
  </si>
  <si>
    <t>год</t>
  </si>
  <si>
    <t>ФИО авторов, через точку с запятой</t>
  </si>
  <si>
    <t>название публикации</t>
  </si>
  <si>
    <t>библиография (название журнала, год, номер (том) выпуска (месяц при наличии), страницы</t>
  </si>
  <si>
    <t>ISSN журнала</t>
  </si>
  <si>
    <t>DOI (при наличии)</t>
  </si>
  <si>
    <t>ссылка на электронную копию статьи в папке проекта</t>
  </si>
  <si>
    <t>Конференции</t>
  </si>
  <si>
    <t>название конференции</t>
  </si>
  <si>
    <t>даты конференции</t>
  </si>
  <si>
    <t>город проведения</t>
  </si>
  <si>
    <t>название доклада</t>
  </si>
  <si>
    <t>ФИО докладчика</t>
  </si>
  <si>
    <t>ссылка на программу конференции в папке проекта</t>
  </si>
  <si>
    <t>Заявки на РИД</t>
  </si>
  <si>
    <t>номер заявки</t>
  </si>
  <si>
    <t>дата подачи заявки</t>
  </si>
  <si>
    <t>название заявки</t>
  </si>
  <si>
    <t>номер охранного документа (при наличии)</t>
  </si>
  <si>
    <t>ФИО патентообладателя</t>
  </si>
  <si>
    <t>ФИО авторов</t>
  </si>
  <si>
    <t>ссылка на электронную копию охранного документа в папке проекта</t>
  </si>
  <si>
    <t>Привлечение спонсоров</t>
  </si>
  <si>
    <t>компания</t>
  </si>
  <si>
    <t>дата обращения</t>
  </si>
  <si>
    <t>ссылка на спонсорский пакет (при наличии)</t>
  </si>
  <si>
    <t>спонсорская помощь</t>
  </si>
  <si>
    <t>Мероприятия по продвижению</t>
  </si>
  <si>
    <t>дата мероприятия</t>
  </si>
  <si>
    <t>названия</t>
  </si>
  <si>
    <t>место проведения</t>
  </si>
  <si>
    <t>ссылка на фото/видео отчёт в папке проекта</t>
  </si>
  <si>
    <t>Прочие мероприятия</t>
  </si>
  <si>
    <t>Наименование товара</t>
  </si>
  <si>
    <t>Ссылка на товар</t>
  </si>
  <si>
    <t>Кол-во</t>
  </si>
  <si>
    <t>Единица измерения</t>
  </si>
  <si>
    <t>Сумма, руб.</t>
  </si>
  <si>
    <t>ОКПД-2</t>
  </si>
  <si>
    <t>Техническое задание</t>
  </si>
  <si>
    <t>Выдано,
кол-во</t>
  </si>
  <si>
    <t>Бюджет проекта</t>
  </si>
  <si>
    <t>Суммарный</t>
  </si>
  <si>
    <t>руб.</t>
  </si>
  <si>
    <t xml:space="preserve">– в т. ч. финансирование от ЦПД </t>
  </si>
  <si>
    <t>– в т. ч. финансирование от иных подразделений вуза</t>
  </si>
  <si>
    <t>– в т. ч. финансирование от заказчика</t>
  </si>
  <si>
    <t>– в т. ч. финансирование от партнёра/спонсора</t>
  </si>
  <si>
    <t>Полученные баллы</t>
  </si>
  <si>
    <t>Роль в проекте
(выбрать из списка)</t>
  </si>
  <si>
    <t>Справочно:</t>
  </si>
  <si>
    <t>(Например, «Заключен контракт с поставщиком»)</t>
  </si>
  <si>
    <t>(Например, «Поставлено оборудование для монтажа»)</t>
  </si>
  <si>
    <t>Ответственный приёмщик</t>
  </si>
  <si>
    <r>
      <t xml:space="preserve">Ключевые задачи проекта </t>
    </r>
    <r>
      <rPr>
        <i/>
        <sz val="12"/>
        <color theme="1"/>
        <rFont val="Times New Roman"/>
        <family val="1"/>
        <charset val="204"/>
      </rPr>
      <t>(уникальные решения, необходимые для достижения результата)</t>
    </r>
  </si>
  <si>
    <r>
      <t xml:space="preserve">Риски проекта </t>
    </r>
    <r>
      <rPr>
        <i/>
        <sz val="12"/>
        <color rgb="FF000000"/>
        <rFont val="Times New Roman"/>
        <family val="1"/>
        <charset val="204"/>
      </rPr>
      <t>(риск; меры минимизации)</t>
    </r>
  </si>
  <si>
    <t xml:space="preserve">Уровень проекта (TRL/УГТ) на начало уч. года	</t>
  </si>
  <si>
    <t>Название предприятия</t>
  </si>
  <si>
    <t>Цена за ед., руб.</t>
  </si>
  <si>
    <t>Контактное лицо со стороны заказчика</t>
  </si>
  <si>
    <t>Проблема, на решение которой направлен проект</t>
  </si>
  <si>
    <r>
      <t>Куратор проекта</t>
    </r>
    <r>
      <rPr>
        <i/>
        <sz val="12"/>
        <color rgb="FF000000"/>
        <rFont val="Times New Roman"/>
        <family val="1"/>
        <charset val="204"/>
      </rPr>
      <t xml:space="preserve"> (при наличии)</t>
    </r>
  </si>
  <si>
    <t>Контакты — телефон, e-mail</t>
  </si>
  <si>
    <r>
      <t xml:space="preserve">Продуктовый результат </t>
    </r>
    <r>
      <rPr>
        <i/>
        <sz val="12"/>
        <color theme="1"/>
        <rFont val="Times New Roman"/>
        <family val="1"/>
        <charset val="204"/>
      </rPr>
      <t>(прототип, макет, приложение, патент и т.п.)</t>
    </r>
  </si>
  <si>
    <r>
      <t xml:space="preserve">Промежуточный продуктовый результат </t>
    </r>
    <r>
      <rPr>
        <i/>
        <sz val="12"/>
        <color theme="1"/>
        <rFont val="Times New Roman"/>
        <family val="1"/>
        <charset val="204"/>
      </rPr>
      <t>(на конец первого семестра, для годовых проектов)</t>
    </r>
  </si>
  <si>
    <r>
      <t xml:space="preserve">Критерии достижения результата </t>
    </r>
    <r>
      <rPr>
        <i/>
        <sz val="12"/>
        <color theme="1"/>
        <rFont val="Times New Roman"/>
        <family val="1"/>
        <charset val="204"/>
      </rPr>
      <t>(основные измеримые характеристики продукта, по которым определяется успешность проекта)</t>
    </r>
  </si>
  <si>
    <r>
      <t xml:space="preserve">Цель/цели проекта </t>
    </r>
    <r>
      <rPr>
        <i/>
        <sz val="12"/>
        <color rgb="FF000000"/>
        <rFont val="Times New Roman"/>
        <family val="1"/>
        <charset val="204"/>
      </rPr>
      <t>(цель по SMART, согласованная с предпосылками проекта)</t>
    </r>
  </si>
  <si>
    <r>
      <t xml:space="preserve">Наименование проекта </t>
    </r>
    <r>
      <rPr>
        <i/>
        <sz val="12"/>
        <color rgb="FF000000"/>
        <rFont val="Times New Roman"/>
        <family val="1"/>
        <charset val="204"/>
      </rPr>
      <t>(скопировать из ЛК)</t>
    </r>
  </si>
  <si>
    <t>Контрольная точка (КТ) – это конкретный проверяемый результат проекта, который должен появиться в установленный срок. Контрольная точка фиксирует:
• материальный результат – что должно быть получено;
• срок – когда должен быть получен результат;
• исполнителя – кто отвечает за получение результата;
• приёмщика – кто подтвердит, что результат соответствует требованиям, и его можно применить для целей проекта.
Результат контрольной точки должен быть завершённым действием. По правилам русского языка нужно использовать:
• прошедшее время;
• совершенный вид;
• страдательный залог (ответ на вопрос «что сделано?»).</t>
  </si>
  <si>
    <r>
      <t xml:space="preserve">Требуемое финансирование </t>
    </r>
    <r>
      <rPr>
        <i/>
        <sz val="12"/>
        <color rgb="FF000000"/>
        <rFont val="Times New Roman"/>
        <family val="1"/>
        <charset val="204"/>
      </rPr>
      <t>(тыс. руб.)</t>
    </r>
  </si>
  <si>
    <r>
      <t xml:space="preserve">Направление в рамках программы развития </t>
    </r>
    <r>
      <rPr>
        <i/>
        <sz val="12"/>
        <color rgb="FF000000"/>
        <rFont val="Times New Roman"/>
        <family val="1"/>
        <charset val="204"/>
      </rPr>
      <t>(при наличии)</t>
    </r>
  </si>
  <si>
    <r>
      <t xml:space="preserve">Риск 1 </t>
    </r>
    <r>
      <rPr>
        <i/>
        <sz val="12"/>
        <color theme="1"/>
        <rFont val="Times New Roman"/>
        <family val="1"/>
        <charset val="204"/>
      </rPr>
      <t>(например: сопротивление команды применяемым методам)</t>
    </r>
  </si>
  <si>
    <r>
      <t xml:space="preserve">Риск 2 </t>
    </r>
    <r>
      <rPr>
        <i/>
        <sz val="12"/>
        <color theme="1"/>
        <rFont val="Times New Roman"/>
        <family val="1"/>
        <charset val="204"/>
      </rPr>
      <t>(например: высокие требования к компетенциям команды)</t>
    </r>
  </si>
  <si>
    <r>
      <t xml:space="preserve">Риск 3 </t>
    </r>
    <r>
      <rPr>
        <i/>
        <sz val="12"/>
        <color theme="1"/>
        <rFont val="Times New Roman"/>
        <family val="1"/>
        <charset val="204"/>
      </rPr>
      <t>(например: нехватка компетенций куратора проекта с точки зрения междисциплинарного профиля проекта)</t>
    </r>
  </si>
  <si>
    <t>1. Строительно-ремонтные работы (с указанием номера помещения)</t>
  </si>
  <si>
    <t>2. Закупка оборудования и ПО</t>
  </si>
  <si>
    <t>3. Иное</t>
  </si>
  <si>
    <t>1. Расширенные полномочия для группы управления проектом (перечень).</t>
  </si>
  <si>
    <t>2. Допонительные сотрудники (перечень)</t>
  </si>
  <si>
    <r>
      <t xml:space="preserve">Источник
финансирования
</t>
    </r>
    <r>
      <rPr>
        <sz val="12"/>
        <color theme="1"/>
        <rFont val="Times New Roman"/>
        <family val="1"/>
        <charset val="204"/>
      </rPr>
      <t>(выбрать из списка)</t>
    </r>
  </si>
  <si>
    <t>– в т. ч. личные средства</t>
  </si>
  <si>
    <r>
      <t xml:space="preserve">Проектное направление </t>
    </r>
    <r>
      <rPr>
        <i/>
        <sz val="12"/>
        <color rgb="FF000000"/>
        <rFont val="Times New Roman"/>
        <family val="1"/>
        <charset val="204"/>
      </rPr>
      <t>(выбрать из списка в ячейке)</t>
    </r>
  </si>
  <si>
    <t>Срок реализации проекта: начало</t>
  </si>
  <si>
    <t>Срок реализации проекта: завершение</t>
  </si>
  <si>
    <t>Создать ИИ-агента для оптимизации процесса анализа документов на соответствие нормативным требованиям, нахождения в них рисковых формулировок, уменьшив трудоёмкость процесса и снизив влияние человеческого фактора на него.</t>
  </si>
  <si>
    <t>Существующий процесс ручной проверки документов на соответствие нормативным требованиям занимает слишком много времени и критически зависит от внимательности сотрудников. Это приводит к регулярному пропуску рисковых формулировок из-за человеческого фактора, что замедляет бизнес-процессы и создает угрозу финансовых и юридических санкций для компании.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</si>
</sst>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&quot;.&quot;mm"/>
    <numFmt numFmtId="165" formatCode="dd\.mm\.yy"/>
    <numFmt numFmtId="166" formatCode="#,##0.0"/>
  </numFmts>
  <fonts count="18" x14ac:knownFonts="1">
    <font>
      <sz val="10"/>
      <color rgb="FF000000"/>
      <name val="Arial"/>
      <scheme val="minor"/>
    </font>
    <font>
      <b/>
      <sz val="12"/>
      <color rgb="FF000000"/>
      <name val="Times New Roman"/>
      <family val="1"/>
      <charset val="204"/>
    </font>
    <font>
      <i/>
      <sz val="12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sz val="10"/>
      <color theme="1"/>
      <name val="Tahoma"/>
      <family val="2"/>
      <charset val="204"/>
    </font>
    <font>
      <sz val="10"/>
      <name val="Tahoma"/>
      <family val="2"/>
      <charset val="204"/>
    </font>
    <font>
      <sz val="10"/>
      <color rgb="FF000000"/>
      <name val="Tahoma"/>
      <family val="2"/>
      <charset val="204"/>
    </font>
    <font>
      <sz val="10"/>
      <color theme="1"/>
      <name val="Tahoma"/>
      <family val="2"/>
      <charset val="204"/>
    </font>
    <font>
      <sz val="12"/>
      <color rgb="FF171616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rgb="FF4D4D4D"/>
      <name val="Times New Roman"/>
      <family val="1"/>
      <charset val="204"/>
    </font>
    <font>
      <sz val="12"/>
      <color rgb="FF333333"/>
      <name val="Times New Roman"/>
      <family val="1"/>
      <charset val="204"/>
    </font>
    <font>
      <sz val="12"/>
      <color rgb="FF363636"/>
      <name val="Times New Roman"/>
      <family val="1"/>
      <charset val="204"/>
    </font>
    <font>
      <sz val="12"/>
      <color indexed="81"/>
      <name val="Times New Roman"/>
      <family val="1"/>
      <charset val="204"/>
    </font>
    <font>
      <sz val="10"/>
      <color rgb="FF000000"/>
      <name val="Arial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CCCCCC"/>
        <bgColor rgb="FFCCCCCC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F3F3F3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73">
    <xf numFmtId="0" fontId="0" fillId="0" borderId="0" xfId="0" applyFont="1" applyAlignment="1"/>
    <xf numFmtId="0" fontId="6" fillId="0" borderId="0" xfId="0" applyFont="1" applyAlignment="1"/>
    <xf numFmtId="0" fontId="4" fillId="3" borderId="1" xfId="0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right" vertical="center"/>
    </xf>
    <xf numFmtId="165" fontId="7" fillId="2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9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64" fontId="7" fillId="0" borderId="1" xfId="0" applyNumberFormat="1" applyFont="1" applyBorder="1" applyAlignment="1">
      <alignment horizontal="center" vertical="center" textRotation="90"/>
    </xf>
    <xf numFmtId="0" fontId="6" fillId="0" borderId="1" xfId="0" applyFont="1" applyBorder="1" applyAlignment="1"/>
    <xf numFmtId="0" fontId="6" fillId="0" borderId="1" xfId="0" applyFont="1" applyBorder="1" applyAlignment="1">
      <alignment horizontal="center"/>
    </xf>
    <xf numFmtId="166" fontId="7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8" fillId="0" borderId="1" xfId="0" applyFont="1" applyBorder="1" applyAlignment="1">
      <alignment vertical="top" wrapText="1"/>
    </xf>
    <xf numFmtId="0" fontId="3" fillId="0" borderId="0" xfId="0" applyFont="1" applyAlignment="1">
      <alignment vertical="top"/>
    </xf>
    <xf numFmtId="0" fontId="9" fillId="0" borderId="1" xfId="0" applyFont="1" applyBorder="1" applyAlignment="1">
      <alignment horizontal="left" vertical="top" wrapText="1"/>
    </xf>
    <xf numFmtId="0" fontId="9" fillId="2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right"/>
    </xf>
    <xf numFmtId="0" fontId="4" fillId="4" borderId="1" xfId="0" applyFont="1" applyFill="1" applyBorder="1"/>
    <xf numFmtId="0" fontId="7" fillId="4" borderId="1" xfId="0" applyFont="1" applyFill="1" applyBorder="1" applyAlignment="1">
      <alignment wrapText="1"/>
    </xf>
    <xf numFmtId="0" fontId="7" fillId="0" borderId="1" xfId="0" applyFont="1" applyBorder="1"/>
    <xf numFmtId="0" fontId="7" fillId="0" borderId="1" xfId="0" applyFont="1" applyBorder="1" applyAlignment="1">
      <alignment wrapText="1"/>
    </xf>
    <xf numFmtId="0" fontId="3" fillId="2" borderId="7" xfId="0" applyFont="1" applyFill="1" applyBorder="1" applyAlignment="1">
      <alignment vertical="top" wrapText="1"/>
    </xf>
    <xf numFmtId="0" fontId="3" fillId="0" borderId="0" xfId="0" applyFont="1" applyAlignment="1"/>
    <xf numFmtId="0" fontId="9" fillId="0" borderId="1" xfId="0" applyFont="1" applyBorder="1" applyAlignment="1">
      <alignment horizontal="right" vertic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right" vertical="center"/>
    </xf>
    <xf numFmtId="0" fontId="13" fillId="2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center"/>
    </xf>
    <xf numFmtId="0" fontId="3" fillId="2" borderId="1" xfId="0" applyFont="1" applyFill="1" applyBorder="1"/>
    <xf numFmtId="0" fontId="14" fillId="0" borderId="1" xfId="0" applyFont="1" applyBorder="1" applyAlignment="1">
      <alignment horizontal="right" vertical="center"/>
    </xf>
    <xf numFmtId="0" fontId="14" fillId="2" borderId="1" xfId="0" applyFont="1" applyFill="1" applyBorder="1"/>
    <xf numFmtId="9" fontId="9" fillId="3" borderId="1" xfId="0" applyNumberFormat="1" applyFont="1" applyFill="1" applyBorder="1" applyAlignment="1">
      <alignment horizontal="right" vertical="center"/>
    </xf>
    <xf numFmtId="0" fontId="9" fillId="3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/>
    </xf>
    <xf numFmtId="0" fontId="15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left" vertical="center"/>
    </xf>
    <xf numFmtId="0" fontId="12" fillId="3" borderId="1" xfId="0" applyFont="1" applyFill="1" applyBorder="1" applyAlignment="1">
      <alignment horizontal="center" vertical="top" wrapText="1"/>
    </xf>
    <xf numFmtId="0" fontId="3" fillId="0" borderId="0" xfId="0" applyFont="1" applyAlignment="1">
      <alignment vertical="top" wrapText="1"/>
    </xf>
    <xf numFmtId="0" fontId="4" fillId="0" borderId="1" xfId="0" applyFont="1" applyBorder="1" applyAlignment="1">
      <alignment horizontal="center" wrapText="1"/>
    </xf>
    <xf numFmtId="0" fontId="3" fillId="5" borderId="7" xfId="0" applyFont="1" applyFill="1" applyBorder="1" applyAlignment="1">
      <alignment horizontal="left" vertical="top" wrapText="1"/>
    </xf>
    <xf numFmtId="0" fontId="3" fillId="6" borderId="7" xfId="0" applyFont="1" applyFill="1" applyBorder="1" applyAlignment="1">
      <alignment horizontal="left" vertical="top" wrapText="1"/>
    </xf>
    <xf numFmtId="0" fontId="3" fillId="5" borderId="7" xfId="0" applyFont="1" applyFill="1" applyBorder="1" applyAlignment="1">
      <alignment vertical="top" wrapText="1"/>
    </xf>
    <xf numFmtId="0" fontId="3" fillId="0" borderId="7" xfId="0" applyFont="1" applyFill="1" applyBorder="1" applyAlignment="1">
      <alignment vertical="top"/>
    </xf>
    <xf numFmtId="0" fontId="3" fillId="0" borderId="7" xfId="0" applyFont="1" applyFill="1" applyBorder="1" applyAlignment="1">
      <alignment vertical="top" wrapText="1"/>
    </xf>
    <xf numFmtId="0" fontId="3" fillId="0" borderId="7" xfId="0" applyFont="1" applyFill="1" applyBorder="1" applyAlignment="1">
      <alignment horizontal="left" vertical="top" wrapText="1"/>
    </xf>
    <xf numFmtId="0" fontId="9" fillId="0" borderId="7" xfId="0" applyFont="1" applyFill="1" applyBorder="1" applyAlignment="1">
      <alignment horizontal="left" vertical="top" wrapText="1"/>
    </xf>
    <xf numFmtId="0" fontId="3" fillId="0" borderId="0" xfId="0" applyFont="1" applyFill="1" applyAlignment="1">
      <alignment vertical="top"/>
    </xf>
    <xf numFmtId="14" fontId="3" fillId="0" borderId="7" xfId="0" applyNumberFormat="1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right"/>
    </xf>
    <xf numFmtId="0" fontId="6" fillId="2" borderId="1" xfId="0" applyFont="1" applyFill="1" applyBorder="1" applyAlignment="1">
      <alignment horizontal="left"/>
    </xf>
    <xf numFmtId="0" fontId="9" fillId="7" borderId="7" xfId="0" applyFont="1" applyFill="1" applyBorder="1" applyAlignment="1">
      <alignment horizontal="left" vertical="top" wrapText="1"/>
    </xf>
    <xf numFmtId="0" fontId="10" fillId="6" borderId="7" xfId="0" applyFont="1" applyFill="1" applyBorder="1" applyAlignment="1">
      <alignment vertical="top"/>
    </xf>
    <xf numFmtId="0" fontId="9" fillId="6" borderId="0" xfId="0" applyFont="1" applyFill="1" applyAlignment="1">
      <alignment vertical="top" wrapText="1"/>
    </xf>
    <xf numFmtId="0" fontId="9" fillId="6" borderId="8" xfId="0" applyFont="1" applyFill="1" applyBorder="1" applyAlignment="1">
      <alignment vertical="top"/>
    </xf>
    <xf numFmtId="0" fontId="4" fillId="3" borderId="2" xfId="0" applyFont="1" applyFill="1" applyBorder="1" applyAlignment="1">
      <alignment horizontal="center" vertical="center" wrapText="1"/>
    </xf>
    <xf numFmtId="0" fontId="5" fillId="0" borderId="4" xfId="0" applyFont="1" applyBorder="1"/>
    <xf numFmtId="0" fontId="5" fillId="0" borderId="3" xfId="0" applyFont="1" applyBorder="1"/>
    <xf numFmtId="0" fontId="4" fillId="3" borderId="5" xfId="0" applyFont="1" applyFill="1" applyBorder="1" applyAlignment="1">
      <alignment horizontal="center" vertical="center" wrapText="1"/>
    </xf>
    <xf numFmtId="0" fontId="5" fillId="0" borderId="6" xfId="0" applyFont="1" applyBorder="1"/>
    <xf numFmtId="0" fontId="5" fillId="0" borderId="6" xfId="0" applyFont="1" applyBorder="1" applyAlignment="1">
      <alignment horizontal="center"/>
    </xf>
    <xf numFmtId="0" fontId="12" fillId="3" borderId="2" xfId="0" applyFont="1" applyFill="1" applyBorder="1" applyAlignment="1">
      <alignment horizontal="center" vertical="top" wrapText="1"/>
    </xf>
    <xf numFmtId="0" fontId="10" fillId="0" borderId="3" xfId="0" applyFont="1" applyBorder="1" applyAlignment="1">
      <alignment vertical="top" wrapText="1"/>
    </xf>
    <xf numFmtId="0" fontId="10" fillId="0" borderId="4" xfId="0" applyFont="1" applyBorder="1" applyAlignment="1">
      <alignment vertical="top" wrapText="1"/>
    </xf>
  </cellXfs>
  <cellStyles count="1">
    <cellStyle name="Обычный" xfId="0" builtinId="0"/>
  </cellStyles>
  <dxfs count="5">
    <dxf>
      <fill>
        <patternFill patternType="solid">
          <fgColor rgb="FFEFEFEF"/>
          <bgColor rgb="FFEFEFE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35"/>
  <sheetViews>
    <sheetView tabSelected="1" topLeftCell="A4" workbookViewId="0">
      <selection activeCell="B16" sqref="B16"/>
    </sheetView>
  </sheetViews>
  <sheetFormatPr defaultColWidth="12.5703125" defaultRowHeight="15.75" x14ac:dyDescent="0.2"/>
  <cols>
    <col min="1" max="1" width="76.28515625" style="17" customWidth="1"/>
    <col min="2" max="2" width="95.5703125" style="54" customWidth="1"/>
    <col min="3" max="16384" width="12.5703125" style="17"/>
  </cols>
  <sheetData>
    <row r="1" spans="1:2" x14ac:dyDescent="0.2">
      <c r="A1" s="47" t="s">
        <v>167</v>
      </c>
      <c r="B1" s="50"/>
    </row>
    <row r="2" spans="1:2" x14ac:dyDescent="0.2">
      <c r="A2" s="47" t="s">
        <v>181</v>
      </c>
      <c r="B2" s="52"/>
    </row>
    <row r="3" spans="1:2" x14ac:dyDescent="0.2">
      <c r="A3" s="47" t="s">
        <v>170</v>
      </c>
      <c r="B3" s="51"/>
    </row>
    <row r="4" spans="1:2" x14ac:dyDescent="0.2">
      <c r="A4" s="47" t="s">
        <v>156</v>
      </c>
      <c r="B4" s="52"/>
    </row>
    <row r="5" spans="1:2" x14ac:dyDescent="0.2">
      <c r="A5" s="47" t="s">
        <v>2</v>
      </c>
      <c r="B5" s="52" t="s">
        <v>1</v>
      </c>
    </row>
    <row r="6" spans="1:2" x14ac:dyDescent="0.2">
      <c r="A6" s="48" t="s">
        <v>161</v>
      </c>
      <c r="B6" s="52" t="s">
        <v>1</v>
      </c>
    </row>
    <row r="7" spans="1:2" x14ac:dyDescent="0.2">
      <c r="A7" s="48" t="s">
        <v>161</v>
      </c>
      <c r="B7" s="52" t="s">
        <v>1</v>
      </c>
    </row>
    <row r="8" spans="1:2" x14ac:dyDescent="0.2">
      <c r="A8" s="48" t="s">
        <v>161</v>
      </c>
      <c r="B8" s="52" t="s">
        <v>1</v>
      </c>
    </row>
    <row r="9" spans="1:2" x14ac:dyDescent="0.2">
      <c r="A9" s="47" t="s">
        <v>0</v>
      </c>
      <c r="B9" s="52" t="s">
        <v>157</v>
      </c>
    </row>
    <row r="10" spans="1:2" x14ac:dyDescent="0.2">
      <c r="A10" s="47" t="s">
        <v>159</v>
      </c>
      <c r="B10" s="52" t="s">
        <v>1</v>
      </c>
    </row>
    <row r="11" spans="1:2" x14ac:dyDescent="0.2">
      <c r="A11" s="47"/>
      <c r="B11" s="52" t="s">
        <v>162</v>
      </c>
    </row>
    <row r="12" spans="1:2" ht="47.25" x14ac:dyDescent="0.2">
      <c r="A12" s="47" t="s">
        <v>166</v>
      </c>
      <c r="B12" s="52" t="s">
        <v>184</v>
      </c>
    </row>
    <row r="13" spans="1:2" ht="105.75" customHeight="1" x14ac:dyDescent="0.2">
      <c r="A13" s="47" t="s">
        <v>160</v>
      </c>
      <c r="B13" s="52" t="s">
        <v>185</v>
      </c>
    </row>
    <row r="14" spans="1:2" x14ac:dyDescent="0.2">
      <c r="A14" s="49" t="s">
        <v>182</v>
      </c>
      <c r="B14" s="55">
        <v>36526</v>
      </c>
    </row>
    <row r="15" spans="1:2" x14ac:dyDescent="0.2">
      <c r="A15" s="49" t="s">
        <v>183</v>
      </c>
      <c r="B15" s="55">
        <v>36526</v>
      </c>
    </row>
    <row r="16" spans="1:2" ht="31.15" customHeight="1" x14ac:dyDescent="0.2">
      <c r="A16" s="60" t="s">
        <v>163</v>
      </c>
      <c r="B16" s="53" t="s">
        <v>8</v>
      </c>
    </row>
    <row r="17" spans="1:2" ht="31.15" customHeight="1" x14ac:dyDescent="0.2">
      <c r="A17" s="61"/>
      <c r="B17" s="53" t="s">
        <v>9</v>
      </c>
    </row>
    <row r="18" spans="1:2" ht="31.15" customHeight="1" x14ac:dyDescent="0.2">
      <c r="A18" s="61"/>
      <c r="B18" s="53" t="s">
        <v>10</v>
      </c>
    </row>
    <row r="19" spans="1:2" ht="31.15" customHeight="1" x14ac:dyDescent="0.2">
      <c r="A19" s="61"/>
      <c r="B19" s="53" t="s">
        <v>11</v>
      </c>
    </row>
    <row r="20" spans="1:2" ht="31.15" customHeight="1" x14ac:dyDescent="0.2">
      <c r="A20" s="61"/>
      <c r="B20" s="53" t="s">
        <v>12</v>
      </c>
    </row>
    <row r="21" spans="1:2" ht="31.15" customHeight="1" x14ac:dyDescent="0.2">
      <c r="A21" s="60" t="s">
        <v>164</v>
      </c>
      <c r="B21" s="53" t="s">
        <v>8</v>
      </c>
    </row>
    <row r="22" spans="1:2" ht="31.15" customHeight="1" x14ac:dyDescent="0.2">
      <c r="A22" s="61"/>
      <c r="B22" s="53" t="s">
        <v>9</v>
      </c>
    </row>
    <row r="23" spans="1:2" ht="31.15" customHeight="1" x14ac:dyDescent="0.2">
      <c r="A23" s="61"/>
      <c r="B23" s="53" t="s">
        <v>10</v>
      </c>
    </row>
    <row r="24" spans="1:2" ht="31.15" customHeight="1" x14ac:dyDescent="0.2">
      <c r="A24" s="61"/>
      <c r="B24" s="53" t="s">
        <v>11</v>
      </c>
    </row>
    <row r="25" spans="1:2" ht="31.15" customHeight="1" x14ac:dyDescent="0.2">
      <c r="A25" s="61"/>
      <c r="B25" s="53" t="s">
        <v>12</v>
      </c>
    </row>
    <row r="26" spans="1:2" ht="31.15" customHeight="1" x14ac:dyDescent="0.2">
      <c r="A26" s="60" t="s">
        <v>165</v>
      </c>
      <c r="B26" s="53" t="s">
        <v>8</v>
      </c>
    </row>
    <row r="27" spans="1:2" ht="31.15" customHeight="1" x14ac:dyDescent="0.2">
      <c r="A27" s="61"/>
      <c r="B27" s="53" t="s">
        <v>9</v>
      </c>
    </row>
    <row r="28" spans="1:2" ht="31.15" customHeight="1" x14ac:dyDescent="0.2">
      <c r="A28" s="61"/>
      <c r="B28" s="53" t="s">
        <v>10</v>
      </c>
    </row>
    <row r="29" spans="1:2" ht="31.15" customHeight="1" x14ac:dyDescent="0.2">
      <c r="A29" s="61"/>
      <c r="B29" s="53" t="s">
        <v>11</v>
      </c>
    </row>
    <row r="30" spans="1:2" ht="31.15" customHeight="1" x14ac:dyDescent="0.2">
      <c r="A30" s="61"/>
      <c r="B30" s="53" t="s">
        <v>12</v>
      </c>
    </row>
    <row r="31" spans="1:2" ht="31.15" customHeight="1" x14ac:dyDescent="0.2">
      <c r="A31" s="60" t="s">
        <v>154</v>
      </c>
      <c r="B31" s="53" t="s">
        <v>8</v>
      </c>
    </row>
    <row r="32" spans="1:2" ht="31.15" customHeight="1" x14ac:dyDescent="0.2">
      <c r="A32" s="61"/>
      <c r="B32" s="53" t="s">
        <v>9</v>
      </c>
    </row>
    <row r="33" spans="1:2" ht="31.15" customHeight="1" x14ac:dyDescent="0.2">
      <c r="A33" s="61"/>
      <c r="B33" s="53" t="s">
        <v>10</v>
      </c>
    </row>
    <row r="34" spans="1:2" ht="31.15" customHeight="1" x14ac:dyDescent="0.2">
      <c r="A34" s="61"/>
      <c r="B34" s="53" t="s">
        <v>11</v>
      </c>
    </row>
    <row r="35" spans="1:2" ht="31.15" customHeight="1" x14ac:dyDescent="0.2">
      <c r="A35" s="61"/>
      <c r="B35" s="53" t="s">
        <v>12</v>
      </c>
    </row>
  </sheetData>
  <mergeCells count="4">
    <mergeCell ref="A16:A20"/>
    <mergeCell ref="A21:A25"/>
    <mergeCell ref="A26:A30"/>
    <mergeCell ref="A31:A35"/>
  </mergeCells>
  <dataValidations disablePrompts="1" count="1">
    <dataValidation type="list" allowBlank="1" showInputMessage="1" showErrorMessage="1" sqref="B2" xr:uid="{00000000-0002-0000-0000-000000000000}">
      <formula1>"IT, Дизайн, Мультимедиа, Научные проекты, Проекты технологического лидерства, Соцтех, Стратегические проекты, Технология, Транспорт, Урбанистика, Химбиотех"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998"/>
  <sheetViews>
    <sheetView workbookViewId="0">
      <pane ySplit="1" topLeftCell="A44" activePane="bottomLeft" state="frozenSplit"/>
      <selection pane="bottomLeft" activeCell="A2" sqref="A2"/>
    </sheetView>
  </sheetViews>
  <sheetFormatPr defaultColWidth="12.5703125" defaultRowHeight="15" customHeight="1" x14ac:dyDescent="0.2"/>
  <cols>
    <col min="1" max="1" width="9.7109375" style="17" customWidth="1"/>
    <col min="2" max="2" width="61.140625" style="17" customWidth="1"/>
    <col min="3" max="3" width="27.42578125" style="17" customWidth="1"/>
    <col min="4" max="4" width="36.85546875" style="17" customWidth="1"/>
    <col min="5" max="5" width="31.28515625" style="17" customWidth="1"/>
    <col min="6" max="6" width="12.5703125" style="17" customWidth="1"/>
    <col min="7" max="16384" width="12.5703125" style="17"/>
  </cols>
  <sheetData>
    <row r="1" spans="1:5" ht="15.75" x14ac:dyDescent="0.2">
      <c r="A1" s="15" t="s">
        <v>23</v>
      </c>
      <c r="B1" s="15" t="s">
        <v>24</v>
      </c>
      <c r="C1" s="15" t="s">
        <v>25</v>
      </c>
      <c r="D1" s="15" t="s">
        <v>26</v>
      </c>
      <c r="E1" s="15" t="s">
        <v>153</v>
      </c>
    </row>
    <row r="2" spans="1:5" ht="46.9" customHeight="1" x14ac:dyDescent="0.2">
      <c r="A2" s="14">
        <v>1</v>
      </c>
      <c r="B2" s="16" t="s">
        <v>151</v>
      </c>
      <c r="C2" s="18"/>
      <c r="D2" s="19"/>
      <c r="E2" s="18"/>
    </row>
    <row r="3" spans="1:5" ht="46.9" customHeight="1" x14ac:dyDescent="0.2">
      <c r="A3" s="14">
        <v>2</v>
      </c>
      <c r="B3" s="16" t="s">
        <v>152</v>
      </c>
      <c r="C3" s="18"/>
      <c r="D3" s="18"/>
      <c r="E3" s="18"/>
    </row>
    <row r="4" spans="1:5" ht="46.9" customHeight="1" x14ac:dyDescent="0.2">
      <c r="A4" s="14">
        <v>3</v>
      </c>
      <c r="B4" s="16"/>
      <c r="C4" s="18"/>
      <c r="D4" s="18"/>
      <c r="E4" s="18"/>
    </row>
    <row r="5" spans="1:5" ht="46.9" customHeight="1" x14ac:dyDescent="0.2">
      <c r="A5" s="14">
        <v>4</v>
      </c>
      <c r="B5" s="16"/>
      <c r="C5" s="18"/>
      <c r="D5" s="18"/>
      <c r="E5" s="18"/>
    </row>
    <row r="6" spans="1:5" ht="46.9" customHeight="1" x14ac:dyDescent="0.2">
      <c r="A6" s="14">
        <v>5</v>
      </c>
      <c r="B6" s="16"/>
      <c r="C6" s="18"/>
      <c r="D6" s="18"/>
      <c r="E6" s="18"/>
    </row>
    <row r="7" spans="1:5" ht="46.9" customHeight="1" x14ac:dyDescent="0.2">
      <c r="A7" s="14">
        <v>6</v>
      </c>
      <c r="B7" s="16"/>
      <c r="C7" s="18"/>
      <c r="D7" s="18"/>
      <c r="E7" s="18"/>
    </row>
    <row r="8" spans="1:5" ht="46.9" customHeight="1" x14ac:dyDescent="0.2">
      <c r="A8" s="14">
        <v>7</v>
      </c>
      <c r="B8" s="16"/>
      <c r="C8" s="18"/>
      <c r="D8" s="19"/>
      <c r="E8" s="18"/>
    </row>
    <row r="9" spans="1:5" ht="46.9" customHeight="1" x14ac:dyDescent="0.2">
      <c r="A9" s="14">
        <v>8</v>
      </c>
      <c r="B9" s="16"/>
      <c r="C9" s="18"/>
      <c r="D9" s="19"/>
      <c r="E9" s="18"/>
    </row>
    <row r="10" spans="1:5" ht="46.9" customHeight="1" x14ac:dyDescent="0.2">
      <c r="A10" s="14">
        <v>9</v>
      </c>
      <c r="B10" s="16"/>
      <c r="C10" s="18"/>
      <c r="D10" s="18"/>
      <c r="E10" s="18"/>
    </row>
    <row r="11" spans="1:5" ht="46.9" customHeight="1" x14ac:dyDescent="0.2">
      <c r="A11" s="14">
        <v>10</v>
      </c>
      <c r="B11" s="16"/>
      <c r="C11" s="18"/>
      <c r="D11" s="18"/>
      <c r="E11" s="18"/>
    </row>
    <row r="12" spans="1:5" ht="15.75" x14ac:dyDescent="0.2">
      <c r="A12" s="63" t="s">
        <v>150</v>
      </c>
      <c r="B12" s="63"/>
      <c r="C12" s="63"/>
      <c r="D12" s="63"/>
      <c r="E12" s="63"/>
    </row>
    <row r="13" spans="1:5" ht="171.6" customHeight="1" x14ac:dyDescent="0.2">
      <c r="A13" s="62" t="s">
        <v>168</v>
      </c>
      <c r="B13" s="62"/>
      <c r="C13" s="62"/>
      <c r="D13" s="62"/>
      <c r="E13" s="62"/>
    </row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</sheetData>
  <mergeCells count="2">
    <mergeCell ref="A13:E13"/>
    <mergeCell ref="A12:E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24"/>
  <sheetViews>
    <sheetView workbookViewId="0">
      <selection sqref="A1:A3"/>
    </sheetView>
  </sheetViews>
  <sheetFormatPr defaultColWidth="12.5703125" defaultRowHeight="15.75" x14ac:dyDescent="0.2"/>
  <cols>
    <col min="1" max="1" width="86.7109375" style="17" bestFit="1" customWidth="1"/>
    <col min="2" max="2" width="88.85546875" style="17" customWidth="1"/>
    <col min="3" max="16384" width="12.5703125" style="17"/>
  </cols>
  <sheetData>
    <row r="1" spans="1:2" ht="31.15" customHeight="1" x14ac:dyDescent="0.2">
      <c r="A1" s="60" t="s">
        <v>4</v>
      </c>
      <c r="B1" s="53" t="s">
        <v>174</v>
      </c>
    </row>
    <row r="2" spans="1:2" ht="31.15" customHeight="1" x14ac:dyDescent="0.2">
      <c r="A2" s="61"/>
      <c r="B2" s="53" t="s">
        <v>175</v>
      </c>
    </row>
    <row r="3" spans="1:2" ht="31.15" customHeight="1" x14ac:dyDescent="0.2">
      <c r="A3" s="61"/>
      <c r="B3" s="53" t="s">
        <v>176</v>
      </c>
    </row>
    <row r="4" spans="1:2" ht="31.15" customHeight="1" x14ac:dyDescent="0.2">
      <c r="A4" s="60" t="s">
        <v>5</v>
      </c>
      <c r="B4" s="53" t="s">
        <v>177</v>
      </c>
    </row>
    <row r="5" spans="1:2" ht="31.15" customHeight="1" x14ac:dyDescent="0.2">
      <c r="A5" s="61"/>
      <c r="B5" s="53" t="s">
        <v>178</v>
      </c>
    </row>
    <row r="6" spans="1:2" ht="31.15" customHeight="1" x14ac:dyDescent="0.2">
      <c r="A6" s="61"/>
      <c r="B6" s="53" t="s">
        <v>176</v>
      </c>
    </row>
    <row r="7" spans="1:2" x14ac:dyDescent="0.2">
      <c r="A7" s="49" t="s">
        <v>169</v>
      </c>
      <c r="B7" s="25"/>
    </row>
    <row r="8" spans="1:2" x14ac:dyDescent="0.2">
      <c r="A8" s="49" t="s">
        <v>6</v>
      </c>
      <c r="B8" s="25" t="s">
        <v>7</v>
      </c>
    </row>
    <row r="9" spans="1:2" x14ac:dyDescent="0.2">
      <c r="A9" s="49" t="s">
        <v>155</v>
      </c>
      <c r="B9" s="25"/>
    </row>
    <row r="10" spans="1:2" ht="31.15" customHeight="1" x14ac:dyDescent="0.2">
      <c r="A10" s="60" t="s">
        <v>171</v>
      </c>
      <c r="B10" s="53" t="s">
        <v>8</v>
      </c>
    </row>
    <row r="11" spans="1:2" ht="31.15" customHeight="1" x14ac:dyDescent="0.2">
      <c r="A11" s="61"/>
      <c r="B11" s="53" t="s">
        <v>9</v>
      </c>
    </row>
    <row r="12" spans="1:2" ht="31.15" customHeight="1" x14ac:dyDescent="0.2">
      <c r="A12" s="61"/>
      <c r="B12" s="53" t="s">
        <v>10</v>
      </c>
    </row>
    <row r="13" spans="1:2" ht="31.15" customHeight="1" x14ac:dyDescent="0.2">
      <c r="A13" s="61"/>
      <c r="B13" s="53" t="s">
        <v>11</v>
      </c>
    </row>
    <row r="14" spans="1:2" ht="31.15" customHeight="1" x14ac:dyDescent="0.2">
      <c r="A14" s="61"/>
      <c r="B14" s="53" t="s">
        <v>12</v>
      </c>
    </row>
    <row r="15" spans="1:2" ht="31.15" customHeight="1" x14ac:dyDescent="0.2">
      <c r="A15" s="60" t="s">
        <v>172</v>
      </c>
      <c r="B15" s="53" t="s">
        <v>8</v>
      </c>
    </row>
    <row r="16" spans="1:2" ht="31.15" customHeight="1" x14ac:dyDescent="0.2">
      <c r="A16" s="61"/>
      <c r="B16" s="53" t="s">
        <v>9</v>
      </c>
    </row>
    <row r="17" spans="1:2" ht="31.15" customHeight="1" x14ac:dyDescent="0.2">
      <c r="A17" s="61"/>
      <c r="B17" s="53" t="s">
        <v>10</v>
      </c>
    </row>
    <row r="18" spans="1:2" ht="31.15" customHeight="1" x14ac:dyDescent="0.2">
      <c r="A18" s="61"/>
      <c r="B18" s="53" t="s">
        <v>11</v>
      </c>
    </row>
    <row r="19" spans="1:2" ht="31.15" customHeight="1" x14ac:dyDescent="0.2">
      <c r="A19" s="61"/>
      <c r="B19" s="53" t="s">
        <v>12</v>
      </c>
    </row>
    <row r="20" spans="1:2" ht="31.15" customHeight="1" x14ac:dyDescent="0.2">
      <c r="A20" s="60" t="s">
        <v>173</v>
      </c>
      <c r="B20" s="53" t="s">
        <v>8</v>
      </c>
    </row>
    <row r="21" spans="1:2" ht="31.15" customHeight="1" x14ac:dyDescent="0.2">
      <c r="A21" s="61"/>
      <c r="B21" s="53" t="s">
        <v>9</v>
      </c>
    </row>
    <row r="22" spans="1:2" ht="31.15" customHeight="1" x14ac:dyDescent="0.2">
      <c r="A22" s="61"/>
      <c r="B22" s="53" t="s">
        <v>10</v>
      </c>
    </row>
    <row r="23" spans="1:2" ht="31.15" customHeight="1" x14ac:dyDescent="0.2">
      <c r="A23" s="61"/>
      <c r="B23" s="53" t="s">
        <v>11</v>
      </c>
    </row>
    <row r="24" spans="1:2" ht="31.15" customHeight="1" x14ac:dyDescent="0.2">
      <c r="A24" s="61"/>
      <c r="B24" s="53" t="s">
        <v>12</v>
      </c>
    </row>
  </sheetData>
  <mergeCells count="5">
    <mergeCell ref="A15:A19"/>
    <mergeCell ref="A20:A24"/>
    <mergeCell ref="A1:A3"/>
    <mergeCell ref="A4:A6"/>
    <mergeCell ref="A10:A14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J10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12.5703125" defaultRowHeight="15" customHeight="1" x14ac:dyDescent="0.2"/>
  <cols>
    <col min="1" max="1" width="5.28515625" style="1" bestFit="1" customWidth="1"/>
    <col min="2" max="2" width="62.140625" style="1" customWidth="1"/>
    <col min="3" max="3" width="13.85546875" style="1" customWidth="1"/>
    <col min="4" max="4" width="20.5703125" style="1" customWidth="1"/>
    <col min="5" max="5" width="44.42578125" style="1" customWidth="1"/>
    <col min="6" max="6" width="8.7109375" style="1" customWidth="1"/>
    <col min="7" max="7" width="47.7109375" style="1" customWidth="1"/>
    <col min="8" max="10" width="11.140625" style="1" customWidth="1"/>
    <col min="11" max="16384" width="12.5703125" style="1"/>
  </cols>
  <sheetData>
    <row r="1" spans="1:10" ht="26.45" customHeight="1" x14ac:dyDescent="0.2">
      <c r="A1" s="67" t="s">
        <v>13</v>
      </c>
      <c r="B1" s="67" t="s">
        <v>3</v>
      </c>
      <c r="C1" s="67" t="s">
        <v>14</v>
      </c>
      <c r="D1" s="67" t="s">
        <v>149</v>
      </c>
      <c r="E1" s="67" t="s">
        <v>15</v>
      </c>
      <c r="F1" s="64" t="s">
        <v>16</v>
      </c>
      <c r="G1" s="65"/>
      <c r="H1" s="64" t="s">
        <v>17</v>
      </c>
      <c r="I1" s="66"/>
      <c r="J1" s="65"/>
    </row>
    <row r="2" spans="1:10" ht="25.5" x14ac:dyDescent="0.2">
      <c r="A2" s="68"/>
      <c r="B2" s="68"/>
      <c r="C2" s="68"/>
      <c r="D2" s="68"/>
      <c r="E2" s="68"/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</row>
    <row r="3" spans="1:10" ht="15.75" customHeight="1" x14ac:dyDescent="0.2">
      <c r="A3" s="56">
        <v>1</v>
      </c>
      <c r="B3" s="23"/>
      <c r="C3" s="23"/>
      <c r="D3" s="7"/>
      <c r="E3" s="7"/>
      <c r="F3" s="57"/>
      <c r="G3" s="57"/>
      <c r="H3" s="5" t="str">
        <f>IFERROR(IF(LEN(B3)&gt;0,SUMIF('Приложение 4. Дорожная карта'!D:D,B3,'Приложение 4. Дорожная карта'!E:E),""),"")</f>
        <v/>
      </c>
      <c r="I3" s="5" t="str">
        <f>IFERROR(IF(LEN(B3)&gt;0,ROUND(SUMIF('Приложение 4. Дорожная карта'!D:D,B3,'Приложение 4. Дорожная карта'!M:M),0),""),"")</f>
        <v/>
      </c>
      <c r="J3" s="5" t="str">
        <f>IFERROR(IF(I3=0,0,F3+I3),"")</f>
        <v/>
      </c>
    </row>
    <row r="4" spans="1:10" ht="15.75" customHeight="1" x14ac:dyDescent="0.2">
      <c r="A4" s="56">
        <v>2</v>
      </c>
      <c r="B4" s="23"/>
      <c r="C4" s="23"/>
      <c r="D4" s="7"/>
      <c r="E4" s="7"/>
      <c r="F4" s="57"/>
      <c r="G4" s="57"/>
      <c r="H4" s="5" t="str">
        <f>IFERROR(IF(LEN(B4)&gt;0,SUMIF('Приложение 4. Дорожная карта'!D:D,B4,'Приложение 4. Дорожная карта'!E:E),""),"")</f>
        <v/>
      </c>
      <c r="I4" s="5" t="str">
        <f>IFERROR(IF(LEN(B4)&gt;0,ROUND(SUMIF('Приложение 4. Дорожная карта'!D:D,B4,'Приложение 4. Дорожная карта'!M:M),0),""),"")</f>
        <v/>
      </c>
      <c r="J4" s="5" t="str">
        <f t="shared" ref="J4:J67" si="0">IFERROR(IF(I4=0,0,F4+I4),"")</f>
        <v/>
      </c>
    </row>
    <row r="5" spans="1:10" ht="15.75" customHeight="1" x14ac:dyDescent="0.2">
      <c r="A5" s="56">
        <v>3</v>
      </c>
      <c r="B5" s="23"/>
      <c r="C5" s="23"/>
      <c r="D5" s="7"/>
      <c r="E5" s="7"/>
      <c r="F5" s="57"/>
      <c r="G5" s="57"/>
      <c r="H5" s="5" t="str">
        <f>IFERROR(IF(LEN(B5)&gt;0,SUMIF('Приложение 4. Дорожная карта'!D:D,B5,'Приложение 4. Дорожная карта'!E:E),""),"")</f>
        <v/>
      </c>
      <c r="I5" s="5" t="str">
        <f>IFERROR(IF(LEN(B5)&gt;0,ROUND(SUMIF('Приложение 4. Дорожная карта'!D:D,B5,'Приложение 4. Дорожная карта'!M:M),0),""),"")</f>
        <v/>
      </c>
      <c r="J5" s="5" t="str">
        <f t="shared" si="0"/>
        <v/>
      </c>
    </row>
    <row r="6" spans="1:10" ht="15.75" customHeight="1" x14ac:dyDescent="0.2">
      <c r="A6" s="58">
        <v>4</v>
      </c>
      <c r="B6" s="23"/>
      <c r="C6" s="23"/>
      <c r="D6" s="23"/>
      <c r="E6" s="23"/>
      <c r="F6" s="57"/>
      <c r="G6" s="57"/>
      <c r="H6" s="5" t="str">
        <f>IFERROR(IF(LEN(B6)&gt;0,SUMIF('Приложение 4. Дорожная карта'!D:D,B6,'Приложение 4. Дорожная карта'!E:E),""),"")</f>
        <v/>
      </c>
      <c r="I6" s="5" t="str">
        <f>IFERROR(IF(LEN(B6)&gt;0,ROUND(SUMIF('Приложение 4. Дорожная карта'!D:D,B6,'Приложение 4. Дорожная карта'!M:M),0),""),"")</f>
        <v/>
      </c>
      <c r="J6" s="5" t="str">
        <f t="shared" si="0"/>
        <v/>
      </c>
    </row>
    <row r="7" spans="1:10" ht="15.75" customHeight="1" x14ac:dyDescent="0.2">
      <c r="A7" s="58">
        <v>5</v>
      </c>
      <c r="B7" s="23"/>
      <c r="C7" s="23"/>
      <c r="D7" s="23"/>
      <c r="E7" s="23"/>
      <c r="F7" s="57"/>
      <c r="G7" s="57"/>
      <c r="H7" s="5" t="str">
        <f>IFERROR(IF(LEN(B7)&gt;0,SUMIF('Приложение 4. Дорожная карта'!D:D,B7,'Приложение 4. Дорожная карта'!E:E),""),"")</f>
        <v/>
      </c>
      <c r="I7" s="5" t="str">
        <f>IFERROR(IF(LEN(B7)&gt;0,ROUND(SUMIF('Приложение 4. Дорожная карта'!D:D,B7,'Приложение 4. Дорожная карта'!M:M),0),""),"")</f>
        <v/>
      </c>
      <c r="J7" s="5" t="str">
        <f t="shared" si="0"/>
        <v/>
      </c>
    </row>
    <row r="8" spans="1:10" ht="15.75" customHeight="1" x14ac:dyDescent="0.2">
      <c r="A8" s="56">
        <v>6</v>
      </c>
      <c r="B8" s="23"/>
      <c r="C8" s="23"/>
      <c r="D8" s="23"/>
      <c r="E8" s="23"/>
      <c r="F8" s="57"/>
      <c r="G8" s="57"/>
      <c r="H8" s="5" t="str">
        <f>IFERROR(IF(LEN(B8)&gt;0,SUMIF('Приложение 4. Дорожная карта'!D:D,B8,'Приложение 4. Дорожная карта'!E:E),""),"")</f>
        <v/>
      </c>
      <c r="I8" s="5" t="str">
        <f>IFERROR(IF(LEN(B8)&gt;0,ROUND(SUMIF('Приложение 4. Дорожная карта'!D:D,B8,'Приложение 4. Дорожная карта'!M:M),0),""),"")</f>
        <v/>
      </c>
      <c r="J8" s="5" t="str">
        <f t="shared" si="0"/>
        <v/>
      </c>
    </row>
    <row r="9" spans="1:10" ht="15.75" customHeight="1" x14ac:dyDescent="0.2">
      <c r="A9" s="56">
        <v>7</v>
      </c>
      <c r="B9" s="23"/>
      <c r="C9" s="23"/>
      <c r="D9" s="23"/>
      <c r="E9" s="23"/>
      <c r="F9" s="57"/>
      <c r="G9" s="57"/>
      <c r="H9" s="5" t="str">
        <f>IFERROR(IF(LEN(B9)&gt;0,SUMIF('Приложение 4. Дорожная карта'!D:D,B9,'Приложение 4. Дорожная карта'!E:E),""),"")</f>
        <v/>
      </c>
      <c r="I9" s="5" t="str">
        <f>IFERROR(IF(LEN(B9)&gt;0,ROUND(SUMIF('Приложение 4. Дорожная карта'!D:D,B9,'Приложение 4. Дорожная карта'!M:M),0),""),"")</f>
        <v/>
      </c>
      <c r="J9" s="5" t="str">
        <f t="shared" si="0"/>
        <v/>
      </c>
    </row>
    <row r="10" spans="1:10" ht="15.75" customHeight="1" x14ac:dyDescent="0.2">
      <c r="A10" s="56">
        <v>8</v>
      </c>
      <c r="B10" s="23"/>
      <c r="C10" s="23"/>
      <c r="D10" s="23"/>
      <c r="E10" s="23"/>
      <c r="F10" s="57"/>
      <c r="G10" s="57"/>
      <c r="H10" s="5" t="str">
        <f>IFERROR(IF(LEN(B10)&gt;0,SUMIF('Приложение 4. Дорожная карта'!D:D,B10,'Приложение 4. Дорожная карта'!E:E),""),"")</f>
        <v/>
      </c>
      <c r="I10" s="5" t="str">
        <f>IFERROR(IF(LEN(B10)&gt;0,ROUND(SUMIF('Приложение 4. Дорожная карта'!D:D,B10,'Приложение 4. Дорожная карта'!M:M),0),""),"")</f>
        <v/>
      </c>
      <c r="J10" s="5" t="str">
        <f t="shared" si="0"/>
        <v/>
      </c>
    </row>
    <row r="11" spans="1:10" ht="15.75" customHeight="1" x14ac:dyDescent="0.2">
      <c r="A11" s="58">
        <v>9</v>
      </c>
      <c r="B11" s="23"/>
      <c r="C11" s="23"/>
      <c r="D11" s="23"/>
      <c r="E11" s="23"/>
      <c r="F11" s="57"/>
      <c r="G11" s="57"/>
      <c r="H11" s="5" t="str">
        <f>IFERROR(IF(LEN(B11)&gt;0,SUMIF('Приложение 4. Дорожная карта'!D:D,B11,'Приложение 4. Дорожная карта'!E:E),""),"")</f>
        <v/>
      </c>
      <c r="I11" s="5" t="str">
        <f>IFERROR(IF(LEN(B11)&gt;0,ROUND(SUMIF('Приложение 4. Дорожная карта'!D:D,B11,'Приложение 4. Дорожная карта'!M:M),0),""),"")</f>
        <v/>
      </c>
      <c r="J11" s="5" t="str">
        <f t="shared" si="0"/>
        <v/>
      </c>
    </row>
    <row r="12" spans="1:10" ht="15.75" customHeight="1" x14ac:dyDescent="0.2">
      <c r="A12" s="58">
        <v>10</v>
      </c>
      <c r="B12" s="23"/>
      <c r="C12" s="23"/>
      <c r="D12" s="23"/>
      <c r="E12" s="23"/>
      <c r="F12" s="57"/>
      <c r="G12" s="57"/>
      <c r="H12" s="5" t="str">
        <f>IFERROR(IF(LEN(B12)&gt;0,SUMIF('Приложение 4. Дорожная карта'!D:D,B12,'Приложение 4. Дорожная карта'!E:E),""),"")</f>
        <v/>
      </c>
      <c r="I12" s="5" t="str">
        <f>IFERROR(IF(LEN(B12)&gt;0,ROUND(SUMIF('Приложение 4. Дорожная карта'!D:D,B12,'Приложение 4. Дорожная карта'!M:M),0),""),"")</f>
        <v/>
      </c>
      <c r="J12" s="5" t="str">
        <f t="shared" si="0"/>
        <v/>
      </c>
    </row>
    <row r="13" spans="1:10" ht="15.75" customHeight="1" x14ac:dyDescent="0.2">
      <c r="A13" s="56">
        <v>11</v>
      </c>
      <c r="B13" s="23"/>
      <c r="C13" s="23"/>
      <c r="D13" s="23"/>
      <c r="E13" s="23"/>
      <c r="F13" s="57"/>
      <c r="G13" s="57"/>
      <c r="H13" s="5" t="str">
        <f>IFERROR(IF(LEN(B13)&gt;0,SUMIF('Приложение 4. Дорожная карта'!D:D,B13,'Приложение 4. Дорожная карта'!E:E),""),"")</f>
        <v/>
      </c>
      <c r="I13" s="5" t="str">
        <f>IFERROR(IF(LEN(B13)&gt;0,ROUND(SUMIF('Приложение 4. Дорожная карта'!D:D,B13,'Приложение 4. Дорожная карта'!M:M),0),""),"")</f>
        <v/>
      </c>
      <c r="J13" s="5" t="str">
        <f t="shared" si="0"/>
        <v/>
      </c>
    </row>
    <row r="14" spans="1:10" ht="15.75" customHeight="1" x14ac:dyDescent="0.2">
      <c r="A14" s="56">
        <v>12</v>
      </c>
      <c r="B14" s="23"/>
      <c r="C14" s="23"/>
      <c r="D14" s="23"/>
      <c r="E14" s="23"/>
      <c r="F14" s="57"/>
      <c r="G14" s="57"/>
      <c r="H14" s="5" t="str">
        <f>IFERROR(IF(LEN(B14)&gt;0,SUMIF('Приложение 4. Дорожная карта'!D:D,B14,'Приложение 4. Дорожная карта'!E:E),""),"")</f>
        <v/>
      </c>
      <c r="I14" s="5" t="str">
        <f>IFERROR(IF(LEN(B14)&gt;0,ROUND(SUMIF('Приложение 4. Дорожная карта'!D:D,B14,'Приложение 4. Дорожная карта'!M:M),0),""),"")</f>
        <v/>
      </c>
      <c r="J14" s="5" t="str">
        <f t="shared" si="0"/>
        <v/>
      </c>
    </row>
    <row r="15" spans="1:10" ht="15.75" customHeight="1" x14ac:dyDescent="0.2">
      <c r="A15" s="56">
        <v>13</v>
      </c>
      <c r="B15" s="23"/>
      <c r="C15" s="23"/>
      <c r="D15" s="23"/>
      <c r="E15" s="23"/>
      <c r="F15" s="57"/>
      <c r="G15" s="57"/>
      <c r="H15" s="5" t="str">
        <f>IFERROR(IF(LEN(B15)&gt;0,SUMIF('Приложение 4. Дорожная карта'!D:D,B15,'Приложение 4. Дорожная карта'!E:E),""),"")</f>
        <v/>
      </c>
      <c r="I15" s="5" t="str">
        <f>IFERROR(IF(LEN(B15)&gt;0,ROUND(SUMIF('Приложение 4. Дорожная карта'!D:D,B15,'Приложение 4. Дорожная карта'!M:M),0),""),"")</f>
        <v/>
      </c>
      <c r="J15" s="5" t="str">
        <f t="shared" si="0"/>
        <v/>
      </c>
    </row>
    <row r="16" spans="1:10" ht="15.75" customHeight="1" x14ac:dyDescent="0.2">
      <c r="A16" s="58">
        <v>14</v>
      </c>
      <c r="B16" s="23"/>
      <c r="C16" s="23"/>
      <c r="D16" s="23"/>
      <c r="E16" s="23"/>
      <c r="F16" s="57"/>
      <c r="G16" s="57"/>
      <c r="H16" s="5" t="str">
        <f>IFERROR(IF(LEN(B16)&gt;0,SUMIF('Приложение 4. Дорожная карта'!D:D,B16,'Приложение 4. Дорожная карта'!E:E),""),"")</f>
        <v/>
      </c>
      <c r="I16" s="5" t="str">
        <f>IFERROR(IF(LEN(B16)&gt;0,ROUND(SUMIF('Приложение 4. Дорожная карта'!D:D,B16,'Приложение 4. Дорожная карта'!M:M),0),""),"")</f>
        <v/>
      </c>
      <c r="J16" s="5" t="str">
        <f t="shared" si="0"/>
        <v/>
      </c>
    </row>
    <row r="17" spans="1:10" ht="15.75" customHeight="1" x14ac:dyDescent="0.2">
      <c r="A17" s="58">
        <v>15</v>
      </c>
      <c r="B17" s="23"/>
      <c r="C17" s="23"/>
      <c r="D17" s="23"/>
      <c r="E17" s="23"/>
      <c r="F17" s="57"/>
      <c r="G17" s="57"/>
      <c r="H17" s="5" t="str">
        <f>IFERROR(IF(LEN(B17)&gt;0,SUMIF('Приложение 4. Дорожная карта'!D:D,B17,'Приложение 4. Дорожная карта'!E:E),""),"")</f>
        <v/>
      </c>
      <c r="I17" s="5" t="str">
        <f>IFERROR(IF(LEN(B17)&gt;0,ROUND(SUMIF('Приложение 4. Дорожная карта'!D:D,B17,'Приложение 4. Дорожная карта'!M:M),0),""),"")</f>
        <v/>
      </c>
      <c r="J17" s="5" t="str">
        <f t="shared" si="0"/>
        <v/>
      </c>
    </row>
    <row r="18" spans="1:10" ht="15.75" customHeight="1" x14ac:dyDescent="0.2">
      <c r="A18" s="56">
        <v>16</v>
      </c>
      <c r="B18" s="23"/>
      <c r="C18" s="23"/>
      <c r="D18" s="23"/>
      <c r="E18" s="23"/>
      <c r="F18" s="57"/>
      <c r="G18" s="57"/>
      <c r="H18" s="5" t="str">
        <f>IFERROR(IF(LEN(B18)&gt;0,SUMIF('Приложение 4. Дорожная карта'!D:D,B18,'Приложение 4. Дорожная карта'!E:E),""),"")</f>
        <v/>
      </c>
      <c r="I18" s="5" t="str">
        <f>IFERROR(IF(LEN(B18)&gt;0,ROUND(SUMIF('Приложение 4. Дорожная карта'!D:D,B18,'Приложение 4. Дорожная карта'!M:M),0),""),"")</f>
        <v/>
      </c>
      <c r="J18" s="5" t="str">
        <f t="shared" si="0"/>
        <v/>
      </c>
    </row>
    <row r="19" spans="1:10" ht="15.75" customHeight="1" x14ac:dyDescent="0.2">
      <c r="A19" s="56">
        <v>17</v>
      </c>
      <c r="B19" s="23"/>
      <c r="C19" s="23"/>
      <c r="D19" s="23"/>
      <c r="E19" s="23"/>
      <c r="F19" s="57"/>
      <c r="G19" s="57"/>
      <c r="H19" s="5" t="str">
        <f>IFERROR(IF(LEN(B19)&gt;0,SUMIF('Приложение 4. Дорожная карта'!D:D,B19,'Приложение 4. Дорожная карта'!E:E),""),"")</f>
        <v/>
      </c>
      <c r="I19" s="5" t="str">
        <f>IFERROR(IF(LEN(B19)&gt;0,ROUND(SUMIF('Приложение 4. Дорожная карта'!D:D,B19,'Приложение 4. Дорожная карта'!M:M),0),""),"")</f>
        <v/>
      </c>
      <c r="J19" s="5" t="str">
        <f t="shared" si="0"/>
        <v/>
      </c>
    </row>
    <row r="20" spans="1:10" ht="15.75" customHeight="1" x14ac:dyDescent="0.2">
      <c r="A20" s="56">
        <v>18</v>
      </c>
      <c r="B20" s="23"/>
      <c r="C20" s="23"/>
      <c r="D20" s="23"/>
      <c r="E20" s="23"/>
      <c r="F20" s="57"/>
      <c r="G20" s="57"/>
      <c r="H20" s="5" t="str">
        <f>IFERROR(IF(LEN(B20)&gt;0,SUMIF('Приложение 4. Дорожная карта'!D:D,B20,'Приложение 4. Дорожная карта'!E:E),""),"")</f>
        <v/>
      </c>
      <c r="I20" s="5" t="str">
        <f>IFERROR(IF(LEN(B20)&gt;0,ROUND(SUMIF('Приложение 4. Дорожная карта'!D:D,B20,'Приложение 4. Дорожная карта'!M:M),0),""),"")</f>
        <v/>
      </c>
      <c r="J20" s="5" t="str">
        <f t="shared" si="0"/>
        <v/>
      </c>
    </row>
    <row r="21" spans="1:10" ht="15.75" customHeight="1" x14ac:dyDescent="0.2">
      <c r="A21" s="58">
        <v>19</v>
      </c>
      <c r="B21" s="23"/>
      <c r="C21" s="23"/>
      <c r="D21" s="23"/>
      <c r="E21" s="23"/>
      <c r="F21" s="57"/>
      <c r="G21" s="57"/>
      <c r="H21" s="5" t="str">
        <f>IFERROR(IF(LEN(B21)&gt;0,SUMIF('Приложение 4. Дорожная карта'!D:D,B21,'Приложение 4. Дорожная карта'!E:E),""),"")</f>
        <v/>
      </c>
      <c r="I21" s="5" t="str">
        <f>IFERROR(IF(LEN(B21)&gt;0,ROUND(SUMIF('Приложение 4. Дорожная карта'!D:D,B21,'Приложение 4. Дорожная карта'!M:M),0),""),"")</f>
        <v/>
      </c>
      <c r="J21" s="5" t="str">
        <f t="shared" si="0"/>
        <v/>
      </c>
    </row>
    <row r="22" spans="1:10" ht="15.75" customHeight="1" x14ac:dyDescent="0.2">
      <c r="A22" s="58">
        <v>20</v>
      </c>
      <c r="B22" s="23"/>
      <c r="C22" s="23"/>
      <c r="D22" s="23"/>
      <c r="E22" s="23"/>
      <c r="F22" s="57"/>
      <c r="G22" s="57"/>
      <c r="H22" s="5" t="str">
        <f>IFERROR(IF(LEN(B22)&gt;0,SUMIF('Приложение 4. Дорожная карта'!D:D,B22,'Приложение 4. Дорожная карта'!E:E),""),"")</f>
        <v/>
      </c>
      <c r="I22" s="5" t="str">
        <f>IFERROR(IF(LEN(B22)&gt;0,ROUND(SUMIF('Приложение 4. Дорожная карта'!D:D,B22,'Приложение 4. Дорожная карта'!M:M),0),""),"")</f>
        <v/>
      </c>
      <c r="J22" s="5" t="str">
        <f t="shared" si="0"/>
        <v/>
      </c>
    </row>
    <row r="23" spans="1:10" ht="15.75" customHeight="1" x14ac:dyDescent="0.2">
      <c r="A23" s="56">
        <v>21</v>
      </c>
      <c r="B23" s="23"/>
      <c r="C23" s="23"/>
      <c r="D23" s="23"/>
      <c r="E23" s="23"/>
      <c r="F23" s="57"/>
      <c r="G23" s="57"/>
      <c r="H23" s="5" t="str">
        <f>IFERROR(IF(LEN(B23)&gt;0,SUMIF('Приложение 4. Дорожная карта'!D:D,B23,'Приложение 4. Дорожная карта'!E:E),""),"")</f>
        <v/>
      </c>
      <c r="I23" s="5" t="str">
        <f>IFERROR(IF(LEN(B23)&gt;0,ROUND(SUMIF('Приложение 4. Дорожная карта'!D:D,B23,'Приложение 4. Дорожная карта'!M:M),0),""),"")</f>
        <v/>
      </c>
      <c r="J23" s="5" t="str">
        <f t="shared" si="0"/>
        <v/>
      </c>
    </row>
    <row r="24" spans="1:10" ht="15.75" customHeight="1" x14ac:dyDescent="0.2">
      <c r="A24" s="56">
        <v>22</v>
      </c>
      <c r="B24" s="23"/>
      <c r="C24" s="23"/>
      <c r="D24" s="23"/>
      <c r="E24" s="23"/>
      <c r="F24" s="57"/>
      <c r="G24" s="57"/>
      <c r="H24" s="5" t="str">
        <f>IFERROR(IF(LEN(B24)&gt;0,SUMIF('Приложение 4. Дорожная карта'!D:D,B24,'Приложение 4. Дорожная карта'!E:E),""),"")</f>
        <v/>
      </c>
      <c r="I24" s="5" t="str">
        <f>IFERROR(IF(LEN(B24)&gt;0,ROUND(SUMIF('Приложение 4. Дорожная карта'!D:D,B24,'Приложение 4. Дорожная карта'!M:M),0),""),"")</f>
        <v/>
      </c>
      <c r="J24" s="5" t="str">
        <f t="shared" si="0"/>
        <v/>
      </c>
    </row>
    <row r="25" spans="1:10" ht="15.75" customHeight="1" x14ac:dyDescent="0.2">
      <c r="A25" s="56">
        <v>23</v>
      </c>
      <c r="B25" s="23"/>
      <c r="C25" s="23"/>
      <c r="D25" s="23"/>
      <c r="E25" s="23"/>
      <c r="F25" s="57"/>
      <c r="G25" s="57"/>
      <c r="H25" s="5" t="str">
        <f>IFERROR(IF(LEN(B25)&gt;0,SUMIF('Приложение 4. Дорожная карта'!D:D,B25,'Приложение 4. Дорожная карта'!E:E),""),"")</f>
        <v/>
      </c>
      <c r="I25" s="5" t="str">
        <f>IFERROR(IF(LEN(B25)&gt;0,ROUND(SUMIF('Приложение 4. Дорожная карта'!D:D,B25,'Приложение 4. Дорожная карта'!M:M),0),""),"")</f>
        <v/>
      </c>
      <c r="J25" s="5" t="str">
        <f t="shared" si="0"/>
        <v/>
      </c>
    </row>
    <row r="26" spans="1:10" ht="15.75" customHeight="1" x14ac:dyDescent="0.2">
      <c r="A26" s="58">
        <v>24</v>
      </c>
      <c r="B26" s="23"/>
      <c r="C26" s="23"/>
      <c r="D26" s="23"/>
      <c r="E26" s="23"/>
      <c r="F26" s="57"/>
      <c r="G26" s="57"/>
      <c r="H26" s="5" t="str">
        <f>IFERROR(IF(LEN(B26)&gt;0,SUMIF('Приложение 4. Дорожная карта'!D:D,B26,'Приложение 4. Дорожная карта'!E:E),""),"")</f>
        <v/>
      </c>
      <c r="I26" s="5" t="str">
        <f>IFERROR(IF(LEN(B26)&gt;0,ROUND(SUMIF('Приложение 4. Дорожная карта'!D:D,B26,'Приложение 4. Дорожная карта'!M:M),0),""),"")</f>
        <v/>
      </c>
      <c r="J26" s="5" t="str">
        <f t="shared" si="0"/>
        <v/>
      </c>
    </row>
    <row r="27" spans="1:10" ht="15.75" customHeight="1" x14ac:dyDescent="0.2">
      <c r="A27" s="58">
        <v>25</v>
      </c>
      <c r="B27" s="23"/>
      <c r="C27" s="23"/>
      <c r="D27" s="23"/>
      <c r="E27" s="23"/>
      <c r="F27" s="57"/>
      <c r="G27" s="57"/>
      <c r="H27" s="5" t="str">
        <f>IFERROR(IF(LEN(B27)&gt;0,SUMIF('Приложение 4. Дорожная карта'!D:D,B27,'Приложение 4. Дорожная карта'!E:E),""),"")</f>
        <v/>
      </c>
      <c r="I27" s="5" t="str">
        <f>IFERROR(IF(LEN(B27)&gt;0,ROUND(SUMIF('Приложение 4. Дорожная карта'!D:D,B27,'Приложение 4. Дорожная карта'!M:M),0),""),"")</f>
        <v/>
      </c>
      <c r="J27" s="5" t="str">
        <f t="shared" si="0"/>
        <v/>
      </c>
    </row>
    <row r="28" spans="1:10" ht="15.75" customHeight="1" x14ac:dyDescent="0.2">
      <c r="A28" s="56">
        <v>26</v>
      </c>
      <c r="B28" s="23"/>
      <c r="C28" s="23"/>
      <c r="D28" s="23"/>
      <c r="E28" s="23"/>
      <c r="F28" s="57"/>
      <c r="G28" s="57"/>
      <c r="H28" s="5" t="str">
        <f>IFERROR(IF(LEN(B28)&gt;0,SUMIF('Приложение 4. Дорожная карта'!D:D,B28,'Приложение 4. Дорожная карта'!E:E),""),"")</f>
        <v/>
      </c>
      <c r="I28" s="5" t="str">
        <f>IFERROR(IF(LEN(B28)&gt;0,ROUND(SUMIF('Приложение 4. Дорожная карта'!D:D,B28,'Приложение 4. Дорожная карта'!M:M),0),""),"")</f>
        <v/>
      </c>
      <c r="J28" s="5" t="str">
        <f t="shared" si="0"/>
        <v/>
      </c>
    </row>
    <row r="29" spans="1:10" ht="15.75" customHeight="1" x14ac:dyDescent="0.2">
      <c r="A29" s="56">
        <v>27</v>
      </c>
      <c r="B29" s="23"/>
      <c r="C29" s="59"/>
      <c r="D29" s="7"/>
      <c r="E29" s="7"/>
      <c r="F29" s="57"/>
      <c r="G29" s="57"/>
      <c r="H29" s="5" t="str">
        <f>IFERROR(IF(LEN(B29)&gt;0,SUMIF('Приложение 4. Дорожная карта'!D:D,B29,'Приложение 4. Дорожная карта'!E:E),""),"")</f>
        <v/>
      </c>
      <c r="I29" s="5" t="str">
        <f>IFERROR(IF(LEN(B29)&gt;0,ROUND(SUMIF('Приложение 4. Дорожная карта'!D:D,B29,'Приложение 4. Дорожная карта'!M:M),0),""),"")</f>
        <v/>
      </c>
      <c r="J29" s="5" t="str">
        <f t="shared" si="0"/>
        <v/>
      </c>
    </row>
    <row r="30" spans="1:10" ht="15.75" customHeight="1" x14ac:dyDescent="0.2">
      <c r="A30" s="56">
        <v>28</v>
      </c>
      <c r="B30" s="23"/>
      <c r="C30" s="23"/>
      <c r="D30" s="7"/>
      <c r="E30" s="7"/>
      <c r="F30" s="57"/>
      <c r="G30" s="57"/>
      <c r="H30" s="5" t="str">
        <f>IFERROR(IF(LEN(B30)&gt;0,SUMIF('Приложение 4. Дорожная карта'!D:D,B30,'Приложение 4. Дорожная карта'!E:E),""),"")</f>
        <v/>
      </c>
      <c r="I30" s="5" t="str">
        <f>IFERROR(IF(LEN(B30)&gt;0,ROUND(SUMIF('Приложение 4. Дорожная карта'!D:D,B30,'Приложение 4. Дорожная карта'!M:M),0),""),"")</f>
        <v/>
      </c>
      <c r="J30" s="5" t="str">
        <f t="shared" si="0"/>
        <v/>
      </c>
    </row>
    <row r="31" spans="1:10" ht="15.75" customHeight="1" x14ac:dyDescent="0.2">
      <c r="A31" s="58">
        <v>29</v>
      </c>
      <c r="B31" s="23"/>
      <c r="C31" s="23"/>
      <c r="D31" s="7"/>
      <c r="E31" s="7"/>
      <c r="F31" s="57"/>
      <c r="G31" s="57"/>
      <c r="H31" s="5" t="str">
        <f>IFERROR(IF(LEN(B31)&gt;0,SUMIF('Приложение 4. Дорожная карта'!D:D,B31,'Приложение 4. Дорожная карта'!E:E),""),"")</f>
        <v/>
      </c>
      <c r="I31" s="5" t="str">
        <f>IFERROR(IF(LEN(B31)&gt;0,ROUND(SUMIF('Приложение 4. Дорожная карта'!D:D,B31,'Приложение 4. Дорожная карта'!M:M),0),""),"")</f>
        <v/>
      </c>
      <c r="J31" s="5" t="str">
        <f t="shared" si="0"/>
        <v/>
      </c>
    </row>
    <row r="32" spans="1:10" ht="15.75" customHeight="1" x14ac:dyDescent="0.2">
      <c r="A32" s="58">
        <v>30</v>
      </c>
      <c r="B32" s="23"/>
      <c r="C32" s="23"/>
      <c r="D32" s="7"/>
      <c r="E32" s="7"/>
      <c r="F32" s="57"/>
      <c r="G32" s="57"/>
      <c r="H32" s="5" t="str">
        <f>IFERROR(IF(LEN(B32)&gt;0,SUMIF('Приложение 4. Дорожная карта'!D:D,B32,'Приложение 4. Дорожная карта'!E:E),""),"")</f>
        <v/>
      </c>
      <c r="I32" s="5" t="str">
        <f>IFERROR(IF(LEN(B32)&gt;0,ROUND(SUMIF('Приложение 4. Дорожная карта'!D:D,B32,'Приложение 4. Дорожная карта'!M:M),0),""),"")</f>
        <v/>
      </c>
      <c r="J32" s="5" t="str">
        <f t="shared" si="0"/>
        <v/>
      </c>
    </row>
    <row r="33" spans="1:10" ht="15.75" customHeight="1" x14ac:dyDescent="0.2">
      <c r="A33" s="56">
        <v>31</v>
      </c>
      <c r="B33" s="23"/>
      <c r="C33" s="23"/>
      <c r="D33" s="7"/>
      <c r="E33" s="7"/>
      <c r="F33" s="57"/>
      <c r="G33" s="57"/>
      <c r="H33" s="5" t="str">
        <f>IFERROR(IF(LEN(B33)&gt;0,SUMIF('Приложение 4. Дорожная карта'!D:D,B33,'Приложение 4. Дорожная карта'!E:E),""),"")</f>
        <v/>
      </c>
      <c r="I33" s="5" t="str">
        <f>IFERROR(IF(LEN(B33)&gt;0,ROUND(SUMIF('Приложение 4. Дорожная карта'!D:D,B33,'Приложение 4. Дорожная карта'!M:M),0),""),"")</f>
        <v/>
      </c>
      <c r="J33" s="5" t="str">
        <f t="shared" si="0"/>
        <v/>
      </c>
    </row>
    <row r="34" spans="1:10" ht="15.75" customHeight="1" x14ac:dyDescent="0.2">
      <c r="A34" s="56">
        <v>32</v>
      </c>
      <c r="B34" s="23"/>
      <c r="C34" s="23"/>
      <c r="D34" s="7"/>
      <c r="E34" s="7"/>
      <c r="F34" s="57"/>
      <c r="G34" s="57"/>
      <c r="H34" s="5" t="str">
        <f>IFERROR(IF(LEN(B34)&gt;0,SUMIF('Приложение 4. Дорожная карта'!D:D,B34,'Приложение 4. Дорожная карта'!E:E),""),"")</f>
        <v/>
      </c>
      <c r="I34" s="5" t="str">
        <f>IFERROR(IF(LEN(B34)&gt;0,ROUND(SUMIF('Приложение 4. Дорожная карта'!D:D,B34,'Приложение 4. Дорожная карта'!M:M),0),""),"")</f>
        <v/>
      </c>
      <c r="J34" s="5" t="str">
        <f t="shared" si="0"/>
        <v/>
      </c>
    </row>
    <row r="35" spans="1:10" ht="15.75" customHeight="1" x14ac:dyDescent="0.2">
      <c r="A35" s="56">
        <v>33</v>
      </c>
      <c r="B35" s="23"/>
      <c r="C35" s="23"/>
      <c r="D35" s="7"/>
      <c r="E35" s="7"/>
      <c r="F35" s="57"/>
      <c r="G35" s="57"/>
      <c r="H35" s="5" t="str">
        <f>IFERROR(IF(LEN(B35)&gt;0,SUMIF('Приложение 4. Дорожная карта'!D:D,B35,'Приложение 4. Дорожная карта'!E:E),""),"")</f>
        <v/>
      </c>
      <c r="I35" s="5" t="str">
        <f>IFERROR(IF(LEN(B35)&gt;0,ROUND(SUMIF('Приложение 4. Дорожная карта'!D:D,B35,'Приложение 4. Дорожная карта'!M:M),0),""),"")</f>
        <v/>
      </c>
      <c r="J35" s="5" t="str">
        <f t="shared" si="0"/>
        <v/>
      </c>
    </row>
    <row r="36" spans="1:10" ht="15.75" customHeight="1" x14ac:dyDescent="0.2">
      <c r="A36" s="58">
        <v>34</v>
      </c>
      <c r="B36" s="23"/>
      <c r="C36" s="23"/>
      <c r="D36" s="7"/>
      <c r="E36" s="7"/>
      <c r="F36" s="57"/>
      <c r="G36" s="57"/>
      <c r="H36" s="5" t="str">
        <f>IFERROR(IF(LEN(B36)&gt;0,SUMIF('Приложение 4. Дорожная карта'!D:D,B36,'Приложение 4. Дорожная карта'!E:E),""),"")</f>
        <v/>
      </c>
      <c r="I36" s="5" t="str">
        <f>IFERROR(IF(LEN(B36)&gt;0,ROUND(SUMIF('Приложение 4. Дорожная карта'!D:D,B36,'Приложение 4. Дорожная карта'!M:M),0),""),"")</f>
        <v/>
      </c>
      <c r="J36" s="5" t="str">
        <f t="shared" si="0"/>
        <v/>
      </c>
    </row>
    <row r="37" spans="1:10" ht="15.75" customHeight="1" x14ac:dyDescent="0.2">
      <c r="A37" s="58">
        <v>35</v>
      </c>
      <c r="B37" s="23"/>
      <c r="C37" s="23"/>
      <c r="D37" s="7"/>
      <c r="E37" s="7"/>
      <c r="F37" s="57"/>
      <c r="G37" s="57"/>
      <c r="H37" s="5" t="str">
        <f>IFERROR(IF(LEN(B37)&gt;0,SUMIF('Приложение 4. Дорожная карта'!D:D,B37,'Приложение 4. Дорожная карта'!E:E),""),"")</f>
        <v/>
      </c>
      <c r="I37" s="5" t="str">
        <f>IFERROR(IF(LEN(B37)&gt;0,ROUND(SUMIF('Приложение 4. Дорожная карта'!D:D,B37,'Приложение 4. Дорожная карта'!M:M),0),""),"")</f>
        <v/>
      </c>
      <c r="J37" s="5" t="str">
        <f t="shared" si="0"/>
        <v/>
      </c>
    </row>
    <row r="38" spans="1:10" ht="15.75" customHeight="1" x14ac:dyDescent="0.2">
      <c r="A38" s="56">
        <v>36</v>
      </c>
      <c r="B38" s="23"/>
      <c r="C38" s="23"/>
      <c r="D38" s="7"/>
      <c r="E38" s="7"/>
      <c r="F38" s="57"/>
      <c r="G38" s="57"/>
      <c r="H38" s="5" t="str">
        <f>IFERROR(IF(LEN(B38)&gt;0,SUMIF('Приложение 4. Дорожная карта'!D:D,B38,'Приложение 4. Дорожная карта'!E:E),""),"")</f>
        <v/>
      </c>
      <c r="I38" s="5" t="str">
        <f>IFERROR(IF(LEN(B38)&gt;0,ROUND(SUMIF('Приложение 4. Дорожная карта'!D:D,B38,'Приложение 4. Дорожная карта'!M:M),0),""),"")</f>
        <v/>
      </c>
      <c r="J38" s="5" t="str">
        <f t="shared" si="0"/>
        <v/>
      </c>
    </row>
    <row r="39" spans="1:10" ht="15.75" customHeight="1" x14ac:dyDescent="0.2">
      <c r="A39" s="56">
        <v>37</v>
      </c>
      <c r="B39" s="23"/>
      <c r="C39" s="23"/>
      <c r="D39" s="7"/>
      <c r="E39" s="7"/>
      <c r="F39" s="57"/>
      <c r="G39" s="57"/>
      <c r="H39" s="5" t="str">
        <f>IFERROR(IF(LEN(B39)&gt;0,SUMIF('Приложение 4. Дорожная карта'!D:D,B39,'Приложение 4. Дорожная карта'!E:E),""),"")</f>
        <v/>
      </c>
      <c r="I39" s="5" t="str">
        <f>IFERROR(IF(LEN(B39)&gt;0,ROUND(SUMIF('Приложение 4. Дорожная карта'!D:D,B39,'Приложение 4. Дорожная карта'!M:M),0),""),"")</f>
        <v/>
      </c>
      <c r="J39" s="5" t="str">
        <f t="shared" si="0"/>
        <v/>
      </c>
    </row>
    <row r="40" spans="1:10" ht="15.75" customHeight="1" x14ac:dyDescent="0.2">
      <c r="A40" s="56">
        <v>38</v>
      </c>
      <c r="B40" s="23"/>
      <c r="C40" s="23"/>
      <c r="D40" s="7"/>
      <c r="E40" s="7"/>
      <c r="F40" s="57"/>
      <c r="G40" s="57"/>
      <c r="H40" s="5" t="str">
        <f>IFERROR(IF(LEN(B40)&gt;0,SUMIF('Приложение 4. Дорожная карта'!D:D,B40,'Приложение 4. Дорожная карта'!E:E),""),"")</f>
        <v/>
      </c>
      <c r="I40" s="5" t="str">
        <f>IFERROR(IF(LEN(B40)&gt;0,ROUND(SUMIF('Приложение 4. Дорожная карта'!D:D,B40,'Приложение 4. Дорожная карта'!M:M),0),""),"")</f>
        <v/>
      </c>
      <c r="J40" s="5" t="str">
        <f t="shared" si="0"/>
        <v/>
      </c>
    </row>
    <row r="41" spans="1:10" ht="15.75" customHeight="1" x14ac:dyDescent="0.2">
      <c r="A41" s="58">
        <v>39</v>
      </c>
      <c r="B41" s="23"/>
      <c r="C41" s="23"/>
      <c r="D41" s="7"/>
      <c r="E41" s="7"/>
      <c r="F41" s="57"/>
      <c r="G41" s="57"/>
      <c r="H41" s="5" t="str">
        <f>IFERROR(IF(LEN(B41)&gt;0,SUMIF('Приложение 4. Дорожная карта'!D:D,B41,'Приложение 4. Дорожная карта'!E:E),""),"")</f>
        <v/>
      </c>
      <c r="I41" s="5" t="str">
        <f>IFERROR(IF(LEN(B41)&gt;0,ROUND(SUMIF('Приложение 4. Дорожная карта'!D:D,B41,'Приложение 4. Дорожная карта'!M:M),0),""),"")</f>
        <v/>
      </c>
      <c r="J41" s="5" t="str">
        <f t="shared" si="0"/>
        <v/>
      </c>
    </row>
    <row r="42" spans="1:10" ht="15.75" customHeight="1" x14ac:dyDescent="0.2">
      <c r="A42" s="58">
        <v>40</v>
      </c>
      <c r="B42" s="23"/>
      <c r="C42" s="23"/>
      <c r="D42" s="7"/>
      <c r="E42" s="7"/>
      <c r="F42" s="57"/>
      <c r="G42" s="57"/>
      <c r="H42" s="5" t="str">
        <f>IFERROR(IF(LEN(B42)&gt;0,SUMIF('Приложение 4. Дорожная карта'!D:D,B42,'Приложение 4. Дорожная карта'!E:E),""),"")</f>
        <v/>
      </c>
      <c r="I42" s="5" t="str">
        <f>IFERROR(IF(LEN(B42)&gt;0,ROUND(SUMIF('Приложение 4. Дорожная карта'!D:D,B42,'Приложение 4. Дорожная карта'!M:M),0),""),"")</f>
        <v/>
      </c>
      <c r="J42" s="5" t="str">
        <f t="shared" si="0"/>
        <v/>
      </c>
    </row>
    <row r="43" spans="1:10" ht="15.75" customHeight="1" x14ac:dyDescent="0.2">
      <c r="A43" s="56">
        <v>41</v>
      </c>
      <c r="B43" s="23"/>
      <c r="C43" s="23"/>
      <c r="D43" s="7"/>
      <c r="E43" s="7"/>
      <c r="F43" s="57"/>
      <c r="G43" s="57"/>
      <c r="H43" s="5" t="str">
        <f>IFERROR(IF(LEN(B43)&gt;0,SUMIF('Приложение 4. Дорожная карта'!D:D,B43,'Приложение 4. Дорожная карта'!E:E),""),"")</f>
        <v/>
      </c>
      <c r="I43" s="5" t="str">
        <f>IFERROR(IF(LEN(B43)&gt;0,ROUND(SUMIF('Приложение 4. Дорожная карта'!D:D,B43,'Приложение 4. Дорожная карта'!M:M),0),""),"")</f>
        <v/>
      </c>
      <c r="J43" s="5" t="str">
        <f t="shared" si="0"/>
        <v/>
      </c>
    </row>
    <row r="44" spans="1:10" ht="15.75" customHeight="1" x14ac:dyDescent="0.2">
      <c r="A44" s="56">
        <v>42</v>
      </c>
      <c r="B44" s="23"/>
      <c r="C44" s="23"/>
      <c r="D44" s="7"/>
      <c r="E44" s="7"/>
      <c r="F44" s="57"/>
      <c r="G44" s="57"/>
      <c r="H44" s="5" t="str">
        <f>IFERROR(IF(LEN(B44)&gt;0,SUMIF('Приложение 4. Дорожная карта'!D:D,B44,'Приложение 4. Дорожная карта'!E:E),""),"")</f>
        <v/>
      </c>
      <c r="I44" s="5" t="str">
        <f>IFERROR(IF(LEN(B44)&gt;0,ROUND(SUMIF('Приложение 4. Дорожная карта'!D:D,B44,'Приложение 4. Дорожная карта'!M:M),0),""),"")</f>
        <v/>
      </c>
      <c r="J44" s="5" t="str">
        <f t="shared" si="0"/>
        <v/>
      </c>
    </row>
    <row r="45" spans="1:10" ht="15.75" customHeight="1" x14ac:dyDescent="0.2">
      <c r="A45" s="56">
        <v>43</v>
      </c>
      <c r="B45" s="23"/>
      <c r="C45" s="23"/>
      <c r="D45" s="7"/>
      <c r="E45" s="7"/>
      <c r="F45" s="57"/>
      <c r="G45" s="57"/>
      <c r="H45" s="5" t="str">
        <f>IFERROR(IF(LEN(B45)&gt;0,SUMIF('Приложение 4. Дорожная карта'!D:D,B45,'Приложение 4. Дорожная карта'!E:E),""),"")</f>
        <v/>
      </c>
      <c r="I45" s="5" t="str">
        <f>IFERROR(IF(LEN(B45)&gt;0,ROUND(SUMIF('Приложение 4. Дорожная карта'!D:D,B45,'Приложение 4. Дорожная карта'!M:M),0),""),"")</f>
        <v/>
      </c>
      <c r="J45" s="5" t="str">
        <f t="shared" si="0"/>
        <v/>
      </c>
    </row>
    <row r="46" spans="1:10" ht="15.75" customHeight="1" x14ac:dyDescent="0.2">
      <c r="A46" s="58">
        <v>44</v>
      </c>
      <c r="B46" s="23"/>
      <c r="C46" s="23"/>
      <c r="D46" s="7"/>
      <c r="E46" s="7"/>
      <c r="F46" s="57"/>
      <c r="G46" s="57"/>
      <c r="H46" s="5" t="str">
        <f>IFERROR(IF(LEN(B46)&gt;0,SUMIF('Приложение 4. Дорожная карта'!D:D,B46,'Приложение 4. Дорожная карта'!E:E),""),"")</f>
        <v/>
      </c>
      <c r="I46" s="5" t="str">
        <f>IFERROR(IF(LEN(B46)&gt;0,ROUND(SUMIF('Приложение 4. Дорожная карта'!D:D,B46,'Приложение 4. Дорожная карта'!M:M),0),""),"")</f>
        <v/>
      </c>
      <c r="J46" s="5" t="str">
        <f t="shared" si="0"/>
        <v/>
      </c>
    </row>
    <row r="47" spans="1:10" ht="15.75" customHeight="1" x14ac:dyDescent="0.2">
      <c r="A47" s="58">
        <v>45</v>
      </c>
      <c r="B47" s="23"/>
      <c r="C47" s="23"/>
      <c r="D47" s="7"/>
      <c r="E47" s="7"/>
      <c r="F47" s="57"/>
      <c r="G47" s="57"/>
      <c r="H47" s="5" t="str">
        <f>IFERROR(IF(LEN(B47)&gt;0,SUMIF('Приложение 4. Дорожная карта'!D:D,B47,'Приложение 4. Дорожная карта'!E:E),""),"")</f>
        <v/>
      </c>
      <c r="I47" s="5" t="str">
        <f>IFERROR(IF(LEN(B47)&gt;0,ROUND(SUMIF('Приложение 4. Дорожная карта'!D:D,B47,'Приложение 4. Дорожная карта'!M:M),0),""),"")</f>
        <v/>
      </c>
      <c r="J47" s="5" t="str">
        <f t="shared" si="0"/>
        <v/>
      </c>
    </row>
    <row r="48" spans="1:10" ht="15.75" customHeight="1" x14ac:dyDescent="0.2">
      <c r="A48" s="56">
        <v>46</v>
      </c>
      <c r="B48" s="23"/>
      <c r="C48" s="23"/>
      <c r="D48" s="7"/>
      <c r="E48" s="7"/>
      <c r="F48" s="57"/>
      <c r="G48" s="57"/>
      <c r="H48" s="5" t="str">
        <f>IFERROR(IF(LEN(B48)&gt;0,SUMIF('Приложение 4. Дорожная карта'!D:D,B48,'Приложение 4. Дорожная карта'!E:E),""),"")</f>
        <v/>
      </c>
      <c r="I48" s="5" t="str">
        <f>IFERROR(IF(LEN(B48)&gt;0,ROUND(SUMIF('Приложение 4. Дорожная карта'!D:D,B48,'Приложение 4. Дорожная карта'!M:M),0),""),"")</f>
        <v/>
      </c>
      <c r="J48" s="5" t="str">
        <f t="shared" si="0"/>
        <v/>
      </c>
    </row>
    <row r="49" spans="1:10" ht="15.75" customHeight="1" x14ac:dyDescent="0.2">
      <c r="A49" s="56">
        <v>47</v>
      </c>
      <c r="B49" s="23"/>
      <c r="C49" s="23"/>
      <c r="D49" s="7"/>
      <c r="E49" s="7"/>
      <c r="F49" s="57"/>
      <c r="G49" s="57"/>
      <c r="H49" s="5" t="str">
        <f>IFERROR(IF(LEN(B49)&gt;0,SUMIF('Приложение 4. Дорожная карта'!D:D,B49,'Приложение 4. Дорожная карта'!E:E),""),"")</f>
        <v/>
      </c>
      <c r="I49" s="5" t="str">
        <f>IFERROR(IF(LEN(B49)&gt;0,ROUND(SUMIF('Приложение 4. Дорожная карта'!D:D,B49,'Приложение 4. Дорожная карта'!M:M),0),""),"")</f>
        <v/>
      </c>
      <c r="J49" s="5" t="str">
        <f t="shared" si="0"/>
        <v/>
      </c>
    </row>
    <row r="50" spans="1:10" ht="15.75" customHeight="1" x14ac:dyDescent="0.2">
      <c r="A50" s="56">
        <v>48</v>
      </c>
      <c r="B50" s="23"/>
      <c r="C50" s="23"/>
      <c r="D50" s="7"/>
      <c r="E50" s="7"/>
      <c r="F50" s="57"/>
      <c r="G50" s="57"/>
      <c r="H50" s="5" t="str">
        <f>IFERROR(IF(LEN(B50)&gt;0,SUMIF('Приложение 4. Дорожная карта'!D:D,B50,'Приложение 4. Дорожная карта'!E:E),""),"")</f>
        <v/>
      </c>
      <c r="I50" s="5" t="str">
        <f>IFERROR(IF(LEN(B50)&gt;0,ROUND(SUMIF('Приложение 4. Дорожная карта'!D:D,B50,'Приложение 4. Дорожная карта'!M:M),0),""),"")</f>
        <v/>
      </c>
      <c r="J50" s="5" t="str">
        <f t="shared" si="0"/>
        <v/>
      </c>
    </row>
    <row r="51" spans="1:10" ht="15.75" customHeight="1" x14ac:dyDescent="0.2">
      <c r="A51" s="58">
        <v>49</v>
      </c>
      <c r="B51" s="23"/>
      <c r="C51" s="23"/>
      <c r="D51" s="7"/>
      <c r="E51" s="7"/>
      <c r="F51" s="57"/>
      <c r="G51" s="57"/>
      <c r="H51" s="5" t="str">
        <f>IFERROR(IF(LEN(B51)&gt;0,SUMIF('Приложение 4. Дорожная карта'!D:D,B51,'Приложение 4. Дорожная карта'!E:E),""),"")</f>
        <v/>
      </c>
      <c r="I51" s="5" t="str">
        <f>IFERROR(IF(LEN(B51)&gt;0,ROUND(SUMIF('Приложение 4. Дорожная карта'!D:D,B51,'Приложение 4. Дорожная карта'!M:M),0),""),"")</f>
        <v/>
      </c>
      <c r="J51" s="5" t="str">
        <f t="shared" si="0"/>
        <v/>
      </c>
    </row>
    <row r="52" spans="1:10" ht="15.75" customHeight="1" x14ac:dyDescent="0.2">
      <c r="A52" s="58">
        <v>50</v>
      </c>
      <c r="B52" s="23"/>
      <c r="C52" s="23"/>
      <c r="D52" s="7"/>
      <c r="E52" s="7"/>
      <c r="F52" s="57"/>
      <c r="G52" s="57"/>
      <c r="H52" s="5" t="str">
        <f>IFERROR(IF(LEN(B52)&gt;0,SUMIF('Приложение 4. Дорожная карта'!D:D,B52,'Приложение 4. Дорожная карта'!E:E),""),"")</f>
        <v/>
      </c>
      <c r="I52" s="5" t="str">
        <f>IFERROR(IF(LEN(B52)&gt;0,ROUND(SUMIF('Приложение 4. Дорожная карта'!D:D,B52,'Приложение 4. Дорожная карта'!M:M),0),""),"")</f>
        <v/>
      </c>
      <c r="J52" s="5" t="str">
        <f t="shared" si="0"/>
        <v/>
      </c>
    </row>
    <row r="53" spans="1:10" ht="15.75" customHeight="1" x14ac:dyDescent="0.2">
      <c r="A53" s="56">
        <v>51</v>
      </c>
      <c r="B53" s="23"/>
      <c r="C53" s="23"/>
      <c r="D53" s="7"/>
      <c r="E53" s="7"/>
      <c r="F53" s="57"/>
      <c r="G53" s="57"/>
      <c r="H53" s="5" t="str">
        <f>IFERROR(IF(LEN(B53)&gt;0,SUMIF('Приложение 4. Дорожная карта'!D:D,B53,'Приложение 4. Дорожная карта'!E:E),""),"")</f>
        <v/>
      </c>
      <c r="I53" s="5" t="str">
        <f>IFERROR(IF(LEN(B53)&gt;0,ROUND(SUMIF('Приложение 4. Дорожная карта'!D:D,B53,'Приложение 4. Дорожная карта'!M:M),0),""),"")</f>
        <v/>
      </c>
      <c r="J53" s="5" t="str">
        <f t="shared" si="0"/>
        <v/>
      </c>
    </row>
    <row r="54" spans="1:10" ht="15.75" customHeight="1" x14ac:dyDescent="0.2">
      <c r="A54" s="56">
        <v>52</v>
      </c>
      <c r="B54" s="23"/>
      <c r="C54" s="23"/>
      <c r="D54" s="7"/>
      <c r="E54" s="7"/>
      <c r="F54" s="57"/>
      <c r="G54" s="57"/>
      <c r="H54" s="5" t="str">
        <f>IFERROR(IF(LEN(B54)&gt;0,SUMIF('Приложение 4. Дорожная карта'!D:D,B54,'Приложение 4. Дорожная карта'!E:E),""),"")</f>
        <v/>
      </c>
      <c r="I54" s="5" t="str">
        <f>IFERROR(IF(LEN(B54)&gt;0,ROUND(SUMIF('Приложение 4. Дорожная карта'!D:D,B54,'Приложение 4. Дорожная карта'!M:M),0),""),"")</f>
        <v/>
      </c>
      <c r="J54" s="5" t="str">
        <f t="shared" si="0"/>
        <v/>
      </c>
    </row>
    <row r="55" spans="1:10" ht="15.75" customHeight="1" x14ac:dyDescent="0.2">
      <c r="A55" s="56">
        <v>53</v>
      </c>
      <c r="B55" s="23"/>
      <c r="C55" s="23"/>
      <c r="D55" s="7"/>
      <c r="E55" s="7"/>
      <c r="F55" s="57"/>
      <c r="G55" s="57"/>
      <c r="H55" s="5" t="str">
        <f>IFERROR(IF(LEN(B55)&gt;0,SUMIF('Приложение 4. Дорожная карта'!D:D,B55,'Приложение 4. Дорожная карта'!E:E),""),"")</f>
        <v/>
      </c>
      <c r="I55" s="5" t="str">
        <f>IFERROR(IF(LEN(B55)&gt;0,ROUND(SUMIF('Приложение 4. Дорожная карта'!D:D,B55,'Приложение 4. Дорожная карта'!M:M),0),""),"")</f>
        <v/>
      </c>
      <c r="J55" s="5" t="str">
        <f t="shared" si="0"/>
        <v/>
      </c>
    </row>
    <row r="56" spans="1:10" ht="15.75" customHeight="1" x14ac:dyDescent="0.2">
      <c r="A56" s="58">
        <v>54</v>
      </c>
      <c r="B56" s="23"/>
      <c r="C56" s="23"/>
      <c r="D56" s="7"/>
      <c r="E56" s="7"/>
      <c r="F56" s="57"/>
      <c r="G56" s="57"/>
      <c r="H56" s="5" t="str">
        <f>IFERROR(IF(LEN(B56)&gt;0,SUMIF('Приложение 4. Дорожная карта'!D:D,B56,'Приложение 4. Дорожная карта'!E:E),""),"")</f>
        <v/>
      </c>
      <c r="I56" s="5" t="str">
        <f>IFERROR(IF(LEN(B56)&gt;0,ROUND(SUMIF('Приложение 4. Дорожная карта'!D:D,B56,'Приложение 4. Дорожная карта'!M:M),0),""),"")</f>
        <v/>
      </c>
      <c r="J56" s="5" t="str">
        <f t="shared" si="0"/>
        <v/>
      </c>
    </row>
    <row r="57" spans="1:10" ht="15.75" customHeight="1" x14ac:dyDescent="0.2">
      <c r="A57" s="58">
        <v>55</v>
      </c>
      <c r="B57" s="23"/>
      <c r="C57" s="23"/>
      <c r="D57" s="7"/>
      <c r="E57" s="7"/>
      <c r="F57" s="57"/>
      <c r="G57" s="57"/>
      <c r="H57" s="5" t="str">
        <f>IFERROR(IF(LEN(B57)&gt;0,SUMIF('Приложение 4. Дорожная карта'!D:D,B57,'Приложение 4. Дорожная карта'!E:E),""),"")</f>
        <v/>
      </c>
      <c r="I57" s="5" t="str">
        <f>IFERROR(IF(LEN(B57)&gt;0,ROUND(SUMIF('Приложение 4. Дорожная карта'!D:D,B57,'Приложение 4. Дорожная карта'!M:M),0),""),"")</f>
        <v/>
      </c>
      <c r="J57" s="5" t="str">
        <f t="shared" si="0"/>
        <v/>
      </c>
    </row>
    <row r="58" spans="1:10" ht="15.75" customHeight="1" x14ac:dyDescent="0.2">
      <c r="A58" s="56">
        <v>56</v>
      </c>
      <c r="B58" s="23"/>
      <c r="C58" s="23"/>
      <c r="D58" s="7"/>
      <c r="E58" s="7"/>
      <c r="F58" s="57"/>
      <c r="G58" s="57"/>
      <c r="H58" s="5" t="str">
        <f>IFERROR(IF(LEN(B58)&gt;0,SUMIF('Приложение 4. Дорожная карта'!D:D,B58,'Приложение 4. Дорожная карта'!E:E),""),"")</f>
        <v/>
      </c>
      <c r="I58" s="5" t="str">
        <f>IFERROR(IF(LEN(B58)&gt;0,ROUND(SUMIF('Приложение 4. Дорожная карта'!D:D,B58,'Приложение 4. Дорожная карта'!M:M),0),""),"")</f>
        <v/>
      </c>
      <c r="J58" s="5" t="str">
        <f t="shared" si="0"/>
        <v/>
      </c>
    </row>
    <row r="59" spans="1:10" ht="15.75" customHeight="1" x14ac:dyDescent="0.2">
      <c r="A59" s="56">
        <v>57</v>
      </c>
      <c r="B59" s="23"/>
      <c r="C59" s="23"/>
      <c r="D59" s="7"/>
      <c r="E59" s="7"/>
      <c r="F59" s="57"/>
      <c r="G59" s="57"/>
      <c r="H59" s="5" t="str">
        <f>IFERROR(IF(LEN(B59)&gt;0,SUMIF('Приложение 4. Дорожная карта'!D:D,B59,'Приложение 4. Дорожная карта'!E:E),""),"")</f>
        <v/>
      </c>
      <c r="I59" s="5" t="str">
        <f>IFERROR(IF(LEN(B59)&gt;0,ROUND(SUMIF('Приложение 4. Дорожная карта'!D:D,B59,'Приложение 4. Дорожная карта'!M:M),0),""),"")</f>
        <v/>
      </c>
      <c r="J59" s="5" t="str">
        <f t="shared" si="0"/>
        <v/>
      </c>
    </row>
    <row r="60" spans="1:10" ht="15.75" customHeight="1" x14ac:dyDescent="0.2">
      <c r="A60" s="56">
        <v>58</v>
      </c>
      <c r="B60" s="23"/>
      <c r="C60" s="23"/>
      <c r="D60" s="7"/>
      <c r="E60" s="7"/>
      <c r="F60" s="57"/>
      <c r="G60" s="57"/>
      <c r="H60" s="5" t="str">
        <f>IFERROR(IF(LEN(B60)&gt;0,SUMIF('Приложение 4. Дорожная карта'!D:D,B60,'Приложение 4. Дорожная карта'!E:E),""),"")</f>
        <v/>
      </c>
      <c r="I60" s="5" t="str">
        <f>IFERROR(IF(LEN(B60)&gt;0,ROUND(SUMIF('Приложение 4. Дорожная карта'!D:D,B60,'Приложение 4. Дорожная карта'!M:M),0),""),"")</f>
        <v/>
      </c>
      <c r="J60" s="5" t="str">
        <f t="shared" si="0"/>
        <v/>
      </c>
    </row>
    <row r="61" spans="1:10" ht="15.75" customHeight="1" x14ac:dyDescent="0.2">
      <c r="A61" s="58">
        <v>59</v>
      </c>
      <c r="B61" s="23"/>
      <c r="C61" s="23"/>
      <c r="D61" s="7"/>
      <c r="E61" s="7"/>
      <c r="F61" s="57"/>
      <c r="G61" s="57"/>
      <c r="H61" s="5" t="str">
        <f>IFERROR(IF(LEN(B61)&gt;0,SUMIF('Приложение 4. Дорожная карта'!D:D,B61,'Приложение 4. Дорожная карта'!E:E),""),"")</f>
        <v/>
      </c>
      <c r="I61" s="5" t="str">
        <f>IFERROR(IF(LEN(B61)&gt;0,ROUND(SUMIF('Приложение 4. Дорожная карта'!D:D,B61,'Приложение 4. Дорожная карта'!M:M),0),""),"")</f>
        <v/>
      </c>
      <c r="J61" s="5" t="str">
        <f t="shared" si="0"/>
        <v/>
      </c>
    </row>
    <row r="62" spans="1:10" ht="15.75" customHeight="1" x14ac:dyDescent="0.2">
      <c r="A62" s="58">
        <v>60</v>
      </c>
      <c r="B62" s="23"/>
      <c r="C62" s="23"/>
      <c r="D62" s="7"/>
      <c r="E62" s="7"/>
      <c r="F62" s="57"/>
      <c r="G62" s="57"/>
      <c r="H62" s="5" t="str">
        <f>IFERROR(IF(LEN(B62)&gt;0,SUMIF('Приложение 4. Дорожная карта'!D:D,B62,'Приложение 4. Дорожная карта'!E:E),""),"")</f>
        <v/>
      </c>
      <c r="I62" s="5" t="str">
        <f>IFERROR(IF(LEN(B62)&gt;0,ROUND(SUMIF('Приложение 4. Дорожная карта'!D:D,B62,'Приложение 4. Дорожная карта'!M:M),0),""),"")</f>
        <v/>
      </c>
      <c r="J62" s="5" t="str">
        <f t="shared" si="0"/>
        <v/>
      </c>
    </row>
    <row r="63" spans="1:10" ht="15.75" customHeight="1" x14ac:dyDescent="0.2">
      <c r="A63" s="56">
        <v>61</v>
      </c>
      <c r="B63" s="23"/>
      <c r="C63" s="23"/>
      <c r="D63" s="7"/>
      <c r="E63" s="7"/>
      <c r="F63" s="57"/>
      <c r="G63" s="57"/>
      <c r="H63" s="5" t="str">
        <f>IFERROR(IF(LEN(B63)&gt;0,SUMIF('Приложение 4. Дорожная карта'!D:D,B63,'Приложение 4. Дорожная карта'!E:E),""),"")</f>
        <v/>
      </c>
      <c r="I63" s="5" t="str">
        <f>IFERROR(IF(LEN(B63)&gt;0,ROUND(SUMIF('Приложение 4. Дорожная карта'!D:D,B63,'Приложение 4. Дорожная карта'!M:M),0),""),"")</f>
        <v/>
      </c>
      <c r="J63" s="5" t="str">
        <f t="shared" si="0"/>
        <v/>
      </c>
    </row>
    <row r="64" spans="1:10" ht="15.75" customHeight="1" x14ac:dyDescent="0.2">
      <c r="A64" s="56">
        <v>62</v>
      </c>
      <c r="B64" s="23"/>
      <c r="C64" s="23"/>
      <c r="D64" s="7"/>
      <c r="E64" s="7"/>
      <c r="F64" s="57"/>
      <c r="G64" s="57"/>
      <c r="H64" s="5" t="str">
        <f>IFERROR(IF(LEN(B64)&gt;0,SUMIF('Приложение 4. Дорожная карта'!D:D,B64,'Приложение 4. Дорожная карта'!E:E),""),"")</f>
        <v/>
      </c>
      <c r="I64" s="5" t="str">
        <f>IFERROR(IF(LEN(B64)&gt;0,ROUND(SUMIF('Приложение 4. Дорожная карта'!D:D,B64,'Приложение 4. Дорожная карта'!M:M),0),""),"")</f>
        <v/>
      </c>
      <c r="J64" s="5" t="str">
        <f t="shared" si="0"/>
        <v/>
      </c>
    </row>
    <row r="65" spans="1:10" ht="15.75" customHeight="1" x14ac:dyDescent="0.2">
      <c r="A65" s="56">
        <v>63</v>
      </c>
      <c r="B65" s="23"/>
      <c r="C65" s="23"/>
      <c r="D65" s="7"/>
      <c r="E65" s="7"/>
      <c r="F65" s="57"/>
      <c r="G65" s="57"/>
      <c r="H65" s="5" t="str">
        <f>IFERROR(IF(LEN(B65)&gt;0,SUMIF('Приложение 4. Дорожная карта'!D:D,B65,'Приложение 4. Дорожная карта'!E:E),""),"")</f>
        <v/>
      </c>
      <c r="I65" s="5" t="str">
        <f>IFERROR(IF(LEN(B65)&gt;0,ROUND(SUMIF('Приложение 4. Дорожная карта'!D:D,B65,'Приложение 4. Дорожная карта'!M:M),0),""),"")</f>
        <v/>
      </c>
      <c r="J65" s="5" t="str">
        <f t="shared" si="0"/>
        <v/>
      </c>
    </row>
    <row r="66" spans="1:10" ht="15.75" customHeight="1" x14ac:dyDescent="0.2">
      <c r="A66" s="58">
        <v>64</v>
      </c>
      <c r="B66" s="23"/>
      <c r="C66" s="23"/>
      <c r="D66" s="7"/>
      <c r="E66" s="7"/>
      <c r="F66" s="57"/>
      <c r="G66" s="57"/>
      <c r="H66" s="5" t="str">
        <f>IFERROR(IF(LEN(B66)&gt;0,SUMIF('Приложение 4. Дорожная карта'!D:D,B66,'Приложение 4. Дорожная карта'!E:E),""),"")</f>
        <v/>
      </c>
      <c r="I66" s="5" t="str">
        <f>IFERROR(IF(LEN(B66)&gt;0,ROUND(SUMIF('Приложение 4. Дорожная карта'!D:D,B66,'Приложение 4. Дорожная карта'!M:M),0),""),"")</f>
        <v/>
      </c>
      <c r="J66" s="5" t="str">
        <f t="shared" si="0"/>
        <v/>
      </c>
    </row>
    <row r="67" spans="1:10" ht="15.75" customHeight="1" x14ac:dyDescent="0.2">
      <c r="A67" s="58">
        <v>65</v>
      </c>
      <c r="B67" s="23"/>
      <c r="C67" s="23"/>
      <c r="D67" s="7"/>
      <c r="E67" s="7"/>
      <c r="F67" s="57"/>
      <c r="G67" s="57"/>
      <c r="H67" s="5" t="str">
        <f>IFERROR(IF(LEN(B67)&gt;0,SUMIF('Приложение 4. Дорожная карта'!D:D,B67,'Приложение 4. Дорожная карта'!E:E),""),"")</f>
        <v/>
      </c>
      <c r="I67" s="5" t="str">
        <f>IFERROR(IF(LEN(B67)&gt;0,ROUND(SUMIF('Приложение 4. Дорожная карта'!D:D,B67,'Приложение 4. Дорожная карта'!M:M),0),""),"")</f>
        <v/>
      </c>
      <c r="J67" s="5" t="str">
        <f t="shared" si="0"/>
        <v/>
      </c>
    </row>
    <row r="68" spans="1:10" ht="15.75" customHeight="1" x14ac:dyDescent="0.2">
      <c r="A68" s="56">
        <v>66</v>
      </c>
      <c r="B68" s="23"/>
      <c r="C68" s="23"/>
      <c r="D68" s="7"/>
      <c r="E68" s="7"/>
      <c r="F68" s="57"/>
      <c r="G68" s="57"/>
      <c r="H68" s="5" t="str">
        <f>IFERROR(IF(LEN(B68)&gt;0,SUMIF('Приложение 4. Дорожная карта'!D:D,B68,'Приложение 4. Дорожная карта'!E:E),""),"")</f>
        <v/>
      </c>
      <c r="I68" s="5" t="str">
        <f>IFERROR(IF(LEN(B68)&gt;0,ROUND(SUMIF('Приложение 4. Дорожная карта'!D:D,B68,'Приложение 4. Дорожная карта'!M:M),0),""),"")</f>
        <v/>
      </c>
      <c r="J68" s="5" t="str">
        <f t="shared" ref="J68:J102" si="1">IFERROR(IF(I68=0,0,F68+I68),"")</f>
        <v/>
      </c>
    </row>
    <row r="69" spans="1:10" ht="15.75" customHeight="1" x14ac:dyDescent="0.2">
      <c r="A69" s="56">
        <v>67</v>
      </c>
      <c r="B69" s="23"/>
      <c r="C69" s="23"/>
      <c r="D69" s="7"/>
      <c r="E69" s="7"/>
      <c r="F69" s="57"/>
      <c r="G69" s="57"/>
      <c r="H69" s="5" t="str">
        <f>IFERROR(IF(LEN(B69)&gt;0,SUMIF('Приложение 4. Дорожная карта'!D:D,B69,'Приложение 4. Дорожная карта'!E:E),""),"")</f>
        <v/>
      </c>
      <c r="I69" s="5" t="str">
        <f>IFERROR(IF(LEN(B69)&gt;0,ROUND(SUMIF('Приложение 4. Дорожная карта'!D:D,B69,'Приложение 4. Дорожная карта'!M:M),0),""),"")</f>
        <v/>
      </c>
      <c r="J69" s="5" t="str">
        <f t="shared" si="1"/>
        <v/>
      </c>
    </row>
    <row r="70" spans="1:10" ht="15.75" customHeight="1" x14ac:dyDescent="0.2">
      <c r="A70" s="56">
        <v>68</v>
      </c>
      <c r="B70" s="23"/>
      <c r="C70" s="23"/>
      <c r="D70" s="7"/>
      <c r="E70" s="7"/>
      <c r="F70" s="57"/>
      <c r="G70" s="57"/>
      <c r="H70" s="5" t="str">
        <f>IFERROR(IF(LEN(B70)&gt;0,SUMIF('Приложение 4. Дорожная карта'!D:D,B70,'Приложение 4. Дорожная карта'!E:E),""),"")</f>
        <v/>
      </c>
      <c r="I70" s="5" t="str">
        <f>IFERROR(IF(LEN(B70)&gt;0,ROUND(SUMIF('Приложение 4. Дорожная карта'!D:D,B70,'Приложение 4. Дорожная карта'!M:M),0),""),"")</f>
        <v/>
      </c>
      <c r="J70" s="5" t="str">
        <f t="shared" si="1"/>
        <v/>
      </c>
    </row>
    <row r="71" spans="1:10" ht="15.75" customHeight="1" x14ac:dyDescent="0.2">
      <c r="A71" s="58">
        <v>69</v>
      </c>
      <c r="B71" s="23"/>
      <c r="C71" s="23"/>
      <c r="D71" s="7"/>
      <c r="E71" s="7"/>
      <c r="F71" s="57"/>
      <c r="G71" s="57"/>
      <c r="H71" s="5" t="str">
        <f>IFERROR(IF(LEN(B71)&gt;0,SUMIF('Приложение 4. Дорожная карта'!D:D,B71,'Приложение 4. Дорожная карта'!E:E),""),"")</f>
        <v/>
      </c>
      <c r="I71" s="5" t="str">
        <f>IFERROR(IF(LEN(B71)&gt;0,ROUND(SUMIF('Приложение 4. Дорожная карта'!D:D,B71,'Приложение 4. Дорожная карта'!M:M),0),""),"")</f>
        <v/>
      </c>
      <c r="J71" s="5" t="str">
        <f t="shared" si="1"/>
        <v/>
      </c>
    </row>
    <row r="72" spans="1:10" ht="15.75" customHeight="1" x14ac:dyDescent="0.2">
      <c r="A72" s="58">
        <v>70</v>
      </c>
      <c r="B72" s="23"/>
      <c r="C72" s="23"/>
      <c r="D72" s="7"/>
      <c r="E72" s="7"/>
      <c r="F72" s="57"/>
      <c r="G72" s="57"/>
      <c r="H72" s="5" t="str">
        <f>IFERROR(IF(LEN(B72)&gt;0,SUMIF('Приложение 4. Дорожная карта'!D:D,B72,'Приложение 4. Дорожная карта'!E:E),""),"")</f>
        <v/>
      </c>
      <c r="I72" s="5" t="str">
        <f>IFERROR(IF(LEN(B72)&gt;0,ROUND(SUMIF('Приложение 4. Дорожная карта'!D:D,B72,'Приложение 4. Дорожная карта'!M:M),0),""),"")</f>
        <v/>
      </c>
      <c r="J72" s="5" t="str">
        <f t="shared" si="1"/>
        <v/>
      </c>
    </row>
    <row r="73" spans="1:10" ht="15.75" customHeight="1" x14ac:dyDescent="0.2">
      <c r="A73" s="56">
        <v>71</v>
      </c>
      <c r="B73" s="23"/>
      <c r="C73" s="23"/>
      <c r="D73" s="7"/>
      <c r="E73" s="7"/>
      <c r="F73" s="57"/>
      <c r="G73" s="57"/>
      <c r="H73" s="5" t="str">
        <f>IFERROR(IF(LEN(B73)&gt;0,SUMIF('Приложение 4. Дорожная карта'!D:D,B73,'Приложение 4. Дорожная карта'!E:E),""),"")</f>
        <v/>
      </c>
      <c r="I73" s="5" t="str">
        <f>IFERROR(IF(LEN(B73)&gt;0,ROUND(SUMIF('Приложение 4. Дорожная карта'!D:D,B73,'Приложение 4. Дорожная карта'!M:M),0),""),"")</f>
        <v/>
      </c>
      <c r="J73" s="5" t="str">
        <f t="shared" si="1"/>
        <v/>
      </c>
    </row>
    <row r="74" spans="1:10" ht="15.75" customHeight="1" x14ac:dyDescent="0.2">
      <c r="A74" s="56">
        <v>72</v>
      </c>
      <c r="B74" s="23"/>
      <c r="C74" s="23"/>
      <c r="D74" s="7"/>
      <c r="E74" s="7"/>
      <c r="F74" s="57"/>
      <c r="G74" s="57"/>
      <c r="H74" s="5" t="str">
        <f>IFERROR(IF(LEN(B74)&gt;0,SUMIF('Приложение 4. Дорожная карта'!D:D,B74,'Приложение 4. Дорожная карта'!E:E),""),"")</f>
        <v/>
      </c>
      <c r="I74" s="5" t="str">
        <f>IFERROR(IF(LEN(B74)&gt;0,ROUND(SUMIF('Приложение 4. Дорожная карта'!D:D,B74,'Приложение 4. Дорожная карта'!M:M),0),""),"")</f>
        <v/>
      </c>
      <c r="J74" s="5" t="str">
        <f t="shared" si="1"/>
        <v/>
      </c>
    </row>
    <row r="75" spans="1:10" ht="15.75" customHeight="1" x14ac:dyDescent="0.2">
      <c r="A75" s="56">
        <v>73</v>
      </c>
      <c r="B75" s="23"/>
      <c r="C75" s="23"/>
      <c r="D75" s="7"/>
      <c r="E75" s="7"/>
      <c r="F75" s="57"/>
      <c r="G75" s="57"/>
      <c r="H75" s="5" t="str">
        <f>IFERROR(IF(LEN(B75)&gt;0,SUMIF('Приложение 4. Дорожная карта'!D:D,B75,'Приложение 4. Дорожная карта'!E:E),""),"")</f>
        <v/>
      </c>
      <c r="I75" s="5" t="str">
        <f>IFERROR(IF(LEN(B75)&gt;0,ROUND(SUMIF('Приложение 4. Дорожная карта'!D:D,B75,'Приложение 4. Дорожная карта'!M:M),0),""),"")</f>
        <v/>
      </c>
      <c r="J75" s="5" t="str">
        <f t="shared" si="1"/>
        <v/>
      </c>
    </row>
    <row r="76" spans="1:10" ht="15.75" customHeight="1" x14ac:dyDescent="0.2">
      <c r="A76" s="58">
        <v>74</v>
      </c>
      <c r="B76" s="23"/>
      <c r="C76" s="23"/>
      <c r="D76" s="7"/>
      <c r="E76" s="7"/>
      <c r="F76" s="57"/>
      <c r="G76" s="57"/>
      <c r="H76" s="5" t="str">
        <f>IFERROR(IF(LEN(B76)&gt;0,SUMIF('Приложение 4. Дорожная карта'!D:D,B76,'Приложение 4. Дорожная карта'!E:E),""),"")</f>
        <v/>
      </c>
      <c r="I76" s="5" t="str">
        <f>IFERROR(IF(LEN(B76)&gt;0,ROUND(SUMIF('Приложение 4. Дорожная карта'!D:D,B76,'Приложение 4. Дорожная карта'!M:M),0),""),"")</f>
        <v/>
      </c>
      <c r="J76" s="5" t="str">
        <f t="shared" si="1"/>
        <v/>
      </c>
    </row>
    <row r="77" spans="1:10" ht="15.75" customHeight="1" x14ac:dyDescent="0.2">
      <c r="A77" s="58">
        <v>75</v>
      </c>
      <c r="B77" s="23"/>
      <c r="C77" s="23"/>
      <c r="D77" s="7"/>
      <c r="E77" s="7"/>
      <c r="F77" s="57"/>
      <c r="G77" s="57"/>
      <c r="H77" s="5" t="str">
        <f>IFERROR(IF(LEN(B77)&gt;0,SUMIF('Приложение 4. Дорожная карта'!D:D,B77,'Приложение 4. Дорожная карта'!E:E),""),"")</f>
        <v/>
      </c>
      <c r="I77" s="5" t="str">
        <f>IFERROR(IF(LEN(B77)&gt;0,ROUND(SUMIF('Приложение 4. Дорожная карта'!D:D,B77,'Приложение 4. Дорожная карта'!M:M),0),""),"")</f>
        <v/>
      </c>
      <c r="J77" s="5" t="str">
        <f t="shared" si="1"/>
        <v/>
      </c>
    </row>
    <row r="78" spans="1:10" ht="15.75" customHeight="1" x14ac:dyDescent="0.2">
      <c r="A78" s="56">
        <v>76</v>
      </c>
      <c r="B78" s="23"/>
      <c r="C78" s="23"/>
      <c r="D78" s="7"/>
      <c r="E78" s="7"/>
      <c r="F78" s="57"/>
      <c r="G78" s="57"/>
      <c r="H78" s="5" t="str">
        <f>IFERROR(IF(LEN(B78)&gt;0,SUMIF('Приложение 4. Дорожная карта'!D:D,B78,'Приложение 4. Дорожная карта'!E:E),""),"")</f>
        <v/>
      </c>
      <c r="I78" s="5" t="str">
        <f>IFERROR(IF(LEN(B78)&gt;0,ROUND(SUMIF('Приложение 4. Дорожная карта'!D:D,B78,'Приложение 4. Дорожная карта'!M:M),0),""),"")</f>
        <v/>
      </c>
      <c r="J78" s="5" t="str">
        <f t="shared" si="1"/>
        <v/>
      </c>
    </row>
    <row r="79" spans="1:10" ht="15.75" customHeight="1" x14ac:dyDescent="0.2">
      <c r="A79" s="56">
        <v>77</v>
      </c>
      <c r="B79" s="23"/>
      <c r="C79" s="23"/>
      <c r="D79" s="7"/>
      <c r="E79" s="7"/>
      <c r="F79" s="57"/>
      <c r="G79" s="57"/>
      <c r="H79" s="5" t="str">
        <f>IFERROR(IF(LEN(B79)&gt;0,SUMIF('Приложение 4. Дорожная карта'!D:D,B79,'Приложение 4. Дорожная карта'!E:E),""),"")</f>
        <v/>
      </c>
      <c r="I79" s="5" t="str">
        <f>IFERROR(IF(LEN(B79)&gt;0,ROUND(SUMIF('Приложение 4. Дорожная карта'!D:D,B79,'Приложение 4. Дорожная карта'!M:M),0),""),"")</f>
        <v/>
      </c>
      <c r="J79" s="5" t="str">
        <f t="shared" si="1"/>
        <v/>
      </c>
    </row>
    <row r="80" spans="1:10" ht="15.75" customHeight="1" x14ac:dyDescent="0.2">
      <c r="A80" s="56">
        <v>78</v>
      </c>
      <c r="B80" s="23"/>
      <c r="C80" s="23"/>
      <c r="D80" s="7"/>
      <c r="E80" s="7"/>
      <c r="F80" s="57"/>
      <c r="G80" s="57"/>
      <c r="H80" s="5" t="str">
        <f>IFERROR(IF(LEN(B80)&gt;0,SUMIF('Приложение 4. Дорожная карта'!D:D,B80,'Приложение 4. Дорожная карта'!E:E),""),"")</f>
        <v/>
      </c>
      <c r="I80" s="5" t="str">
        <f>IFERROR(IF(LEN(B80)&gt;0,ROUND(SUMIF('Приложение 4. Дорожная карта'!D:D,B80,'Приложение 4. Дорожная карта'!M:M),0),""),"")</f>
        <v/>
      </c>
      <c r="J80" s="5" t="str">
        <f t="shared" si="1"/>
        <v/>
      </c>
    </row>
    <row r="81" spans="1:10" ht="15.75" customHeight="1" x14ac:dyDescent="0.2">
      <c r="A81" s="58">
        <v>79</v>
      </c>
      <c r="B81" s="23"/>
      <c r="C81" s="23"/>
      <c r="D81" s="7"/>
      <c r="E81" s="7"/>
      <c r="F81" s="57"/>
      <c r="G81" s="57"/>
      <c r="H81" s="5" t="str">
        <f>IFERROR(IF(LEN(B81)&gt;0,SUMIF('Приложение 4. Дорожная карта'!D:D,B81,'Приложение 4. Дорожная карта'!E:E),""),"")</f>
        <v/>
      </c>
      <c r="I81" s="5" t="str">
        <f>IFERROR(IF(LEN(B81)&gt;0,ROUND(SUMIF('Приложение 4. Дорожная карта'!D:D,B81,'Приложение 4. Дорожная карта'!M:M),0),""),"")</f>
        <v/>
      </c>
      <c r="J81" s="5" t="str">
        <f t="shared" si="1"/>
        <v/>
      </c>
    </row>
    <row r="82" spans="1:10" ht="15.75" customHeight="1" x14ac:dyDescent="0.2">
      <c r="A82" s="58">
        <v>80</v>
      </c>
      <c r="B82" s="23"/>
      <c r="C82" s="23"/>
      <c r="D82" s="7"/>
      <c r="E82" s="7"/>
      <c r="F82" s="57"/>
      <c r="G82" s="57"/>
      <c r="H82" s="5" t="str">
        <f>IFERROR(IF(LEN(B82)&gt;0,SUMIF('Приложение 4. Дорожная карта'!D:D,B82,'Приложение 4. Дорожная карта'!E:E),""),"")</f>
        <v/>
      </c>
      <c r="I82" s="5" t="str">
        <f>IFERROR(IF(LEN(B82)&gt;0,ROUND(SUMIF('Приложение 4. Дорожная карта'!D:D,B82,'Приложение 4. Дорожная карта'!M:M),0),""),"")</f>
        <v/>
      </c>
      <c r="J82" s="5" t="str">
        <f t="shared" si="1"/>
        <v/>
      </c>
    </row>
    <row r="83" spans="1:10" ht="15.75" customHeight="1" x14ac:dyDescent="0.2">
      <c r="A83" s="56">
        <v>81</v>
      </c>
      <c r="B83" s="23"/>
      <c r="C83" s="23"/>
      <c r="D83" s="7"/>
      <c r="E83" s="7"/>
      <c r="F83" s="57"/>
      <c r="G83" s="57"/>
      <c r="H83" s="5" t="str">
        <f>IFERROR(IF(LEN(B83)&gt;0,SUMIF('Приложение 4. Дорожная карта'!D:D,B83,'Приложение 4. Дорожная карта'!E:E),""),"")</f>
        <v/>
      </c>
      <c r="I83" s="5" t="str">
        <f>IFERROR(IF(LEN(B83)&gt;0,ROUND(SUMIF('Приложение 4. Дорожная карта'!D:D,B83,'Приложение 4. Дорожная карта'!M:M),0),""),"")</f>
        <v/>
      </c>
      <c r="J83" s="5" t="str">
        <f t="shared" si="1"/>
        <v/>
      </c>
    </row>
    <row r="84" spans="1:10" ht="15.75" customHeight="1" x14ac:dyDescent="0.2">
      <c r="A84" s="56">
        <v>82</v>
      </c>
      <c r="B84" s="23"/>
      <c r="C84" s="23"/>
      <c r="D84" s="7"/>
      <c r="E84" s="7"/>
      <c r="F84" s="57"/>
      <c r="G84" s="57"/>
      <c r="H84" s="5" t="str">
        <f>IFERROR(IF(LEN(B84)&gt;0,SUMIF('Приложение 4. Дорожная карта'!D:D,B84,'Приложение 4. Дорожная карта'!E:E),""),"")</f>
        <v/>
      </c>
      <c r="I84" s="5" t="str">
        <f>IFERROR(IF(LEN(B84)&gt;0,ROUND(SUMIF('Приложение 4. Дорожная карта'!D:D,B84,'Приложение 4. Дорожная карта'!M:M),0),""),"")</f>
        <v/>
      </c>
      <c r="J84" s="5" t="str">
        <f t="shared" si="1"/>
        <v/>
      </c>
    </row>
    <row r="85" spans="1:10" ht="15.75" customHeight="1" x14ac:dyDescent="0.2">
      <c r="A85" s="56">
        <v>83</v>
      </c>
      <c r="B85" s="23"/>
      <c r="C85" s="23"/>
      <c r="D85" s="7"/>
      <c r="E85" s="7"/>
      <c r="F85" s="57"/>
      <c r="G85" s="57"/>
      <c r="H85" s="5" t="str">
        <f>IFERROR(IF(LEN(B85)&gt;0,SUMIF('Приложение 4. Дорожная карта'!D:D,B85,'Приложение 4. Дорожная карта'!E:E),""),"")</f>
        <v/>
      </c>
      <c r="I85" s="5" t="str">
        <f>IFERROR(IF(LEN(B85)&gt;0,ROUND(SUMIF('Приложение 4. Дорожная карта'!D:D,B85,'Приложение 4. Дорожная карта'!M:M),0),""),"")</f>
        <v/>
      </c>
      <c r="J85" s="5" t="str">
        <f t="shared" si="1"/>
        <v/>
      </c>
    </row>
    <row r="86" spans="1:10" ht="15.75" customHeight="1" x14ac:dyDescent="0.2">
      <c r="A86" s="58">
        <v>84</v>
      </c>
      <c r="B86" s="23"/>
      <c r="C86" s="23"/>
      <c r="D86" s="7"/>
      <c r="E86" s="7"/>
      <c r="F86" s="57"/>
      <c r="G86" s="57"/>
      <c r="H86" s="5" t="str">
        <f>IFERROR(IF(LEN(B86)&gt;0,SUMIF('Приложение 4. Дорожная карта'!D:D,B86,'Приложение 4. Дорожная карта'!E:E),""),"")</f>
        <v/>
      </c>
      <c r="I86" s="5" t="str">
        <f>IFERROR(IF(LEN(B86)&gt;0,ROUND(SUMIF('Приложение 4. Дорожная карта'!D:D,B86,'Приложение 4. Дорожная карта'!M:M),0),""),"")</f>
        <v/>
      </c>
      <c r="J86" s="5" t="str">
        <f t="shared" si="1"/>
        <v/>
      </c>
    </row>
    <row r="87" spans="1:10" ht="15.75" customHeight="1" x14ac:dyDescent="0.2">
      <c r="A87" s="58">
        <v>85</v>
      </c>
      <c r="B87" s="23"/>
      <c r="C87" s="23"/>
      <c r="D87" s="7"/>
      <c r="E87" s="7"/>
      <c r="F87" s="57"/>
      <c r="G87" s="57"/>
      <c r="H87" s="5" t="str">
        <f>IFERROR(IF(LEN(B87)&gt;0,SUMIF('Приложение 4. Дорожная карта'!D:D,B87,'Приложение 4. Дорожная карта'!E:E),""),"")</f>
        <v/>
      </c>
      <c r="I87" s="5" t="str">
        <f>IFERROR(IF(LEN(B87)&gt;0,ROUND(SUMIF('Приложение 4. Дорожная карта'!D:D,B87,'Приложение 4. Дорожная карта'!M:M),0),""),"")</f>
        <v/>
      </c>
      <c r="J87" s="5" t="str">
        <f t="shared" si="1"/>
        <v/>
      </c>
    </row>
    <row r="88" spans="1:10" ht="15.75" customHeight="1" x14ac:dyDescent="0.2">
      <c r="A88" s="56">
        <v>86</v>
      </c>
      <c r="B88" s="23"/>
      <c r="C88" s="23"/>
      <c r="D88" s="7"/>
      <c r="E88" s="7"/>
      <c r="F88" s="57"/>
      <c r="G88" s="57"/>
      <c r="H88" s="5" t="str">
        <f>IFERROR(IF(LEN(B88)&gt;0,SUMIF('Приложение 4. Дорожная карта'!D:D,B88,'Приложение 4. Дорожная карта'!E:E),""),"")</f>
        <v/>
      </c>
      <c r="I88" s="5" t="str">
        <f>IFERROR(IF(LEN(B88)&gt;0,ROUND(SUMIF('Приложение 4. Дорожная карта'!D:D,B88,'Приложение 4. Дорожная карта'!M:M),0),""),"")</f>
        <v/>
      </c>
      <c r="J88" s="5" t="str">
        <f t="shared" si="1"/>
        <v/>
      </c>
    </row>
    <row r="89" spans="1:10" ht="15.75" customHeight="1" x14ac:dyDescent="0.2">
      <c r="A89" s="56">
        <v>87</v>
      </c>
      <c r="B89" s="23"/>
      <c r="C89" s="23"/>
      <c r="D89" s="7"/>
      <c r="E89" s="7"/>
      <c r="F89" s="57"/>
      <c r="G89" s="57"/>
      <c r="H89" s="5" t="str">
        <f>IFERROR(IF(LEN(B89)&gt;0,SUMIF('Приложение 4. Дорожная карта'!D:D,B89,'Приложение 4. Дорожная карта'!E:E),""),"")</f>
        <v/>
      </c>
      <c r="I89" s="5" t="str">
        <f>IFERROR(IF(LEN(B89)&gt;0,ROUND(SUMIF('Приложение 4. Дорожная карта'!D:D,B89,'Приложение 4. Дорожная карта'!M:M),0),""),"")</f>
        <v/>
      </c>
      <c r="J89" s="5" t="str">
        <f t="shared" si="1"/>
        <v/>
      </c>
    </row>
    <row r="90" spans="1:10" ht="15.75" customHeight="1" x14ac:dyDescent="0.2">
      <c r="A90" s="56">
        <v>88</v>
      </c>
      <c r="B90" s="23"/>
      <c r="C90" s="23"/>
      <c r="D90" s="7"/>
      <c r="E90" s="7"/>
      <c r="F90" s="57"/>
      <c r="G90" s="57"/>
      <c r="H90" s="5" t="str">
        <f>IFERROR(IF(LEN(B90)&gt;0,SUMIF('Приложение 4. Дорожная карта'!D:D,B90,'Приложение 4. Дорожная карта'!E:E),""),"")</f>
        <v/>
      </c>
      <c r="I90" s="5" t="str">
        <f>IFERROR(IF(LEN(B90)&gt;0,ROUND(SUMIF('Приложение 4. Дорожная карта'!D:D,B90,'Приложение 4. Дорожная карта'!M:M),0),""),"")</f>
        <v/>
      </c>
      <c r="J90" s="5" t="str">
        <f t="shared" si="1"/>
        <v/>
      </c>
    </row>
    <row r="91" spans="1:10" ht="15.75" customHeight="1" x14ac:dyDescent="0.2">
      <c r="A91" s="58">
        <v>89</v>
      </c>
      <c r="B91" s="23"/>
      <c r="C91" s="23"/>
      <c r="D91" s="7"/>
      <c r="E91" s="7"/>
      <c r="F91" s="57"/>
      <c r="G91" s="57"/>
      <c r="H91" s="5" t="str">
        <f>IFERROR(IF(LEN(B91)&gt;0,SUMIF('Приложение 4. Дорожная карта'!D:D,B91,'Приложение 4. Дорожная карта'!E:E),""),"")</f>
        <v/>
      </c>
      <c r="I91" s="5" t="str">
        <f>IFERROR(IF(LEN(B91)&gt;0,ROUND(SUMIF('Приложение 4. Дорожная карта'!D:D,B91,'Приложение 4. Дорожная карта'!M:M),0),""),"")</f>
        <v/>
      </c>
      <c r="J91" s="5" t="str">
        <f t="shared" si="1"/>
        <v/>
      </c>
    </row>
    <row r="92" spans="1:10" ht="15.75" customHeight="1" x14ac:dyDescent="0.2">
      <c r="A92" s="58">
        <v>90</v>
      </c>
      <c r="B92" s="23"/>
      <c r="C92" s="23"/>
      <c r="D92" s="7"/>
      <c r="E92" s="7"/>
      <c r="F92" s="57"/>
      <c r="G92" s="57"/>
      <c r="H92" s="5" t="str">
        <f>IFERROR(IF(LEN(B92)&gt;0,SUMIF('Приложение 4. Дорожная карта'!D:D,B92,'Приложение 4. Дорожная карта'!E:E),""),"")</f>
        <v/>
      </c>
      <c r="I92" s="5" t="str">
        <f>IFERROR(IF(LEN(B92)&gt;0,ROUND(SUMIF('Приложение 4. Дорожная карта'!D:D,B92,'Приложение 4. Дорожная карта'!M:M),0),""),"")</f>
        <v/>
      </c>
      <c r="J92" s="5" t="str">
        <f t="shared" si="1"/>
        <v/>
      </c>
    </row>
    <row r="93" spans="1:10" ht="15.75" customHeight="1" x14ac:dyDescent="0.2">
      <c r="A93" s="56">
        <v>91</v>
      </c>
      <c r="B93" s="23"/>
      <c r="C93" s="23"/>
      <c r="D93" s="7"/>
      <c r="E93" s="7"/>
      <c r="F93" s="57"/>
      <c r="G93" s="57"/>
      <c r="H93" s="5" t="str">
        <f>IFERROR(IF(LEN(B93)&gt;0,SUMIF('Приложение 4. Дорожная карта'!D:D,B93,'Приложение 4. Дорожная карта'!E:E),""),"")</f>
        <v/>
      </c>
      <c r="I93" s="5" t="str">
        <f>IFERROR(IF(LEN(B93)&gt;0,ROUND(SUMIF('Приложение 4. Дорожная карта'!D:D,B93,'Приложение 4. Дорожная карта'!M:M),0),""),"")</f>
        <v/>
      </c>
      <c r="J93" s="5" t="str">
        <f t="shared" si="1"/>
        <v/>
      </c>
    </row>
    <row r="94" spans="1:10" ht="15.75" customHeight="1" x14ac:dyDescent="0.2">
      <c r="A94" s="56">
        <v>92</v>
      </c>
      <c r="B94" s="23"/>
      <c r="C94" s="23"/>
      <c r="D94" s="7"/>
      <c r="E94" s="7"/>
      <c r="F94" s="57"/>
      <c r="G94" s="57"/>
      <c r="H94" s="5" t="str">
        <f>IFERROR(IF(LEN(B94)&gt;0,SUMIF('Приложение 4. Дорожная карта'!D:D,B94,'Приложение 4. Дорожная карта'!E:E),""),"")</f>
        <v/>
      </c>
      <c r="I94" s="5" t="str">
        <f>IFERROR(IF(LEN(B94)&gt;0,ROUND(SUMIF('Приложение 4. Дорожная карта'!D:D,B94,'Приложение 4. Дорожная карта'!M:M),0),""),"")</f>
        <v/>
      </c>
      <c r="J94" s="5" t="str">
        <f t="shared" si="1"/>
        <v/>
      </c>
    </row>
    <row r="95" spans="1:10" ht="15.75" customHeight="1" x14ac:dyDescent="0.2">
      <c r="A95" s="56">
        <v>93</v>
      </c>
      <c r="B95" s="23"/>
      <c r="C95" s="23"/>
      <c r="D95" s="7"/>
      <c r="E95" s="7"/>
      <c r="F95" s="57"/>
      <c r="G95" s="57"/>
      <c r="H95" s="5" t="str">
        <f>IFERROR(IF(LEN(B95)&gt;0,SUMIF('Приложение 4. Дорожная карта'!D:D,B95,'Приложение 4. Дорожная карта'!E:E),""),"")</f>
        <v/>
      </c>
      <c r="I95" s="5" t="str">
        <f>IFERROR(IF(LEN(B95)&gt;0,ROUND(SUMIF('Приложение 4. Дорожная карта'!D:D,B95,'Приложение 4. Дорожная карта'!M:M),0),""),"")</f>
        <v/>
      </c>
      <c r="J95" s="5" t="str">
        <f t="shared" si="1"/>
        <v/>
      </c>
    </row>
    <row r="96" spans="1:10" ht="15.75" customHeight="1" x14ac:dyDescent="0.2">
      <c r="A96" s="58">
        <v>94</v>
      </c>
      <c r="B96" s="23"/>
      <c r="C96" s="23"/>
      <c r="D96" s="7"/>
      <c r="E96" s="7"/>
      <c r="F96" s="57"/>
      <c r="G96" s="57"/>
      <c r="H96" s="5" t="str">
        <f>IFERROR(IF(LEN(B96)&gt;0,SUMIF('Приложение 4. Дорожная карта'!D:D,B96,'Приложение 4. Дорожная карта'!E:E),""),"")</f>
        <v/>
      </c>
      <c r="I96" s="5" t="str">
        <f>IFERROR(IF(LEN(B96)&gt;0,ROUND(SUMIF('Приложение 4. Дорожная карта'!D:D,B96,'Приложение 4. Дорожная карта'!M:M),0),""),"")</f>
        <v/>
      </c>
      <c r="J96" s="5" t="str">
        <f t="shared" si="1"/>
        <v/>
      </c>
    </row>
    <row r="97" spans="1:10" ht="15.75" customHeight="1" x14ac:dyDescent="0.2">
      <c r="A97" s="58">
        <v>95</v>
      </c>
      <c r="B97" s="23"/>
      <c r="C97" s="23"/>
      <c r="D97" s="7"/>
      <c r="E97" s="7"/>
      <c r="F97" s="57"/>
      <c r="G97" s="57"/>
      <c r="H97" s="5" t="str">
        <f>IFERROR(IF(LEN(B97)&gt;0,SUMIF('Приложение 4. Дорожная карта'!D:D,B97,'Приложение 4. Дорожная карта'!E:E),""),"")</f>
        <v/>
      </c>
      <c r="I97" s="5" t="str">
        <f>IFERROR(IF(LEN(B97)&gt;0,ROUND(SUMIF('Приложение 4. Дорожная карта'!D:D,B97,'Приложение 4. Дорожная карта'!M:M),0),""),"")</f>
        <v/>
      </c>
      <c r="J97" s="5" t="str">
        <f t="shared" si="1"/>
        <v/>
      </c>
    </row>
    <row r="98" spans="1:10" ht="15.75" customHeight="1" x14ac:dyDescent="0.2">
      <c r="A98" s="56">
        <v>96</v>
      </c>
      <c r="B98" s="23"/>
      <c r="C98" s="23"/>
      <c r="D98" s="7"/>
      <c r="E98" s="7"/>
      <c r="F98" s="57"/>
      <c r="G98" s="57"/>
      <c r="H98" s="5" t="str">
        <f>IFERROR(IF(LEN(B98)&gt;0,SUMIF('Приложение 4. Дорожная карта'!D:D,B98,'Приложение 4. Дорожная карта'!E:E),""),"")</f>
        <v/>
      </c>
      <c r="I98" s="5" t="str">
        <f>IFERROR(IF(LEN(B98)&gt;0,ROUND(SUMIF('Приложение 4. Дорожная карта'!D:D,B98,'Приложение 4. Дорожная карта'!M:M),0),""),"")</f>
        <v/>
      </c>
      <c r="J98" s="5" t="str">
        <f t="shared" si="1"/>
        <v/>
      </c>
    </row>
    <row r="99" spans="1:10" ht="15.75" customHeight="1" x14ac:dyDescent="0.2">
      <c r="A99" s="56">
        <v>97</v>
      </c>
      <c r="B99" s="23"/>
      <c r="C99" s="23"/>
      <c r="D99" s="7"/>
      <c r="E99" s="7"/>
      <c r="F99" s="57"/>
      <c r="G99" s="57"/>
      <c r="H99" s="5" t="str">
        <f>IFERROR(IF(LEN(B99)&gt;0,SUMIF('Приложение 4. Дорожная карта'!D:D,B99,'Приложение 4. Дорожная карта'!E:E),""),"")</f>
        <v/>
      </c>
      <c r="I99" s="5" t="str">
        <f>IFERROR(IF(LEN(B99)&gt;0,ROUND(SUMIF('Приложение 4. Дорожная карта'!D:D,B99,'Приложение 4. Дорожная карта'!M:M),0),""),"")</f>
        <v/>
      </c>
      <c r="J99" s="5" t="str">
        <f t="shared" si="1"/>
        <v/>
      </c>
    </row>
    <row r="100" spans="1:10" ht="15.75" customHeight="1" x14ac:dyDescent="0.2">
      <c r="A100" s="56">
        <v>98</v>
      </c>
      <c r="B100" s="23"/>
      <c r="C100" s="23"/>
      <c r="D100" s="7"/>
      <c r="E100" s="7"/>
      <c r="F100" s="57"/>
      <c r="G100" s="57"/>
      <c r="H100" s="5" t="str">
        <f>IFERROR(IF(LEN(B100)&gt;0,SUMIF('Приложение 4. Дорожная карта'!D:D,B100,'Приложение 4. Дорожная карта'!E:E),""),"")</f>
        <v/>
      </c>
      <c r="I100" s="5" t="str">
        <f>IFERROR(IF(LEN(B100)&gt;0,ROUND(SUMIF('Приложение 4. Дорожная карта'!D:D,B100,'Приложение 4. Дорожная карта'!M:M),0),""),"")</f>
        <v/>
      </c>
      <c r="J100" s="5" t="str">
        <f t="shared" si="1"/>
        <v/>
      </c>
    </row>
    <row r="101" spans="1:10" ht="15.75" customHeight="1" x14ac:dyDescent="0.2">
      <c r="A101" s="58">
        <v>99</v>
      </c>
      <c r="B101" s="23"/>
      <c r="C101" s="23"/>
      <c r="D101" s="7"/>
      <c r="E101" s="7"/>
      <c r="F101" s="57"/>
      <c r="G101" s="57"/>
      <c r="H101" s="5" t="str">
        <f>IFERROR(IF(LEN(B101)&gt;0,SUMIF('Приложение 4. Дорожная карта'!D:D,B101,'Приложение 4. Дорожная карта'!E:E),""),"")</f>
        <v/>
      </c>
      <c r="I101" s="5" t="str">
        <f>IFERROR(IF(LEN(B101)&gt;0,ROUND(SUMIF('Приложение 4. Дорожная карта'!D:D,B101,'Приложение 4. Дорожная карта'!M:M),0),""),"")</f>
        <v/>
      </c>
      <c r="J101" s="5" t="str">
        <f t="shared" si="1"/>
        <v/>
      </c>
    </row>
    <row r="102" spans="1:10" ht="15.75" customHeight="1" x14ac:dyDescent="0.2">
      <c r="A102" s="58">
        <v>100</v>
      </c>
      <c r="B102" s="23"/>
      <c r="C102" s="23"/>
      <c r="D102" s="7"/>
      <c r="E102" s="7"/>
      <c r="F102" s="57"/>
      <c r="G102" s="57"/>
      <c r="H102" s="5" t="str">
        <f>IFERROR(IF(LEN(B102)&gt;0,SUMIF('Приложение 4. Дорожная карта'!D:D,B102,'Приложение 4. Дорожная карта'!E:E),""),"")</f>
        <v/>
      </c>
      <c r="I102" s="5" t="str">
        <f>IFERROR(IF(LEN(B102)&gt;0,ROUND(SUMIF('Приложение 4. Дорожная карта'!D:D,B102,'Приложение 4. Дорожная карта'!M:M),0),""),"")</f>
        <v/>
      </c>
      <c r="J102" s="5" t="str">
        <f t="shared" si="1"/>
        <v/>
      </c>
    </row>
  </sheetData>
  <mergeCells count="7">
    <mergeCell ref="F1:G1"/>
    <mergeCell ref="H1:J1"/>
    <mergeCell ref="A1:A2"/>
    <mergeCell ref="B1:B2"/>
    <mergeCell ref="C1:C2"/>
    <mergeCell ref="D1:D2"/>
    <mergeCell ref="E1:E2"/>
  </mergeCells>
  <conditionalFormatting sqref="E3:E5 E29:E102">
    <cfRule type="cellIs" dxfId="4" priority="1" operator="greaterThan">
      <formula>10</formula>
    </cfRule>
  </conditionalFormatting>
  <dataValidations count="2">
    <dataValidation type="list" allowBlank="1" showErrorMessage="1" sqref="F3:F102" xr:uid="{00000000-0002-0000-0300-000000000000}">
      <formula1>"0,1,2,3,4,5,6,7,8,9,10"</formula1>
    </dataValidation>
    <dataValidation type="list" allowBlank="1" showErrorMessage="1" sqref="D3:D102" xr:uid="{00000000-0002-0000-0300-000001000000}">
      <formula1>"Лидер проекта,Бригадир,Исполнитель,Журналист"</formula1>
    </dataValidation>
  </dataValidations>
  <printOptions horizontalCentered="1" gridLines="1"/>
  <pageMargins left="0.7" right="0.7" top="0.75" bottom="0.75" header="0" footer="0"/>
  <pageSetup paperSize="9" fitToHeight="0" pageOrder="overThenDown" orientation="landscape" cellComments="atEnd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  <pageSetUpPr fitToPage="1"/>
  </sheetPr>
  <dimension ref="A1:EI5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12.5703125" defaultRowHeight="15" customHeight="1" outlineLevelCol="1" x14ac:dyDescent="0.2"/>
  <cols>
    <col min="1" max="1" width="4.7109375" style="1" customWidth="1"/>
    <col min="2" max="2" width="44.85546875" style="1" customWidth="1"/>
    <col min="3" max="3" width="45" style="1" customWidth="1"/>
    <col min="4" max="4" width="20.140625" style="1" customWidth="1"/>
    <col min="5" max="5" width="14.42578125" style="9" customWidth="1"/>
    <col min="6" max="6" width="13.140625" style="1" customWidth="1"/>
    <col min="7" max="7" width="14" style="1" customWidth="1"/>
    <col min="8" max="8" width="7.140625" style="1" customWidth="1"/>
    <col min="9" max="9" width="12.140625" style="1" customWidth="1"/>
    <col min="10" max="10" width="11.85546875" style="1" customWidth="1"/>
    <col min="11" max="11" width="7.7109375" style="1" customWidth="1"/>
    <col min="12" max="12" width="14.140625" style="1" customWidth="1"/>
    <col min="13" max="13" width="13.28515625" style="1" customWidth="1"/>
    <col min="14" max="139" width="2.7109375" style="1" customWidth="1" outlineLevel="1"/>
    <col min="140" max="16384" width="12.5703125" style="1"/>
  </cols>
  <sheetData>
    <row r="1" spans="1:139" ht="15.75" customHeight="1" x14ac:dyDescent="0.2">
      <c r="A1" s="67" t="s">
        <v>13</v>
      </c>
      <c r="B1" s="67" t="s">
        <v>27</v>
      </c>
      <c r="C1" s="67" t="s">
        <v>28</v>
      </c>
      <c r="D1" s="67" t="s">
        <v>29</v>
      </c>
      <c r="E1" s="67" t="s">
        <v>30</v>
      </c>
      <c r="F1" s="64" t="s">
        <v>31</v>
      </c>
      <c r="G1" s="66"/>
      <c r="H1" s="65"/>
      <c r="I1" s="64" t="s">
        <v>21</v>
      </c>
      <c r="J1" s="66"/>
      <c r="K1" s="65"/>
      <c r="L1" s="67" t="s">
        <v>32</v>
      </c>
      <c r="M1" s="67" t="s">
        <v>148</v>
      </c>
      <c r="N1" s="8" t="s">
        <v>33</v>
      </c>
      <c r="O1" s="8" t="s">
        <v>34</v>
      </c>
      <c r="P1" s="8" t="s">
        <v>35</v>
      </c>
      <c r="Q1" s="8" t="s">
        <v>36</v>
      </c>
      <c r="R1" s="8" t="s">
        <v>37</v>
      </c>
      <c r="S1" s="8" t="s">
        <v>38</v>
      </c>
      <c r="T1" s="8" t="s">
        <v>39</v>
      </c>
      <c r="U1" s="8" t="s">
        <v>33</v>
      </c>
      <c r="V1" s="8" t="s">
        <v>34</v>
      </c>
      <c r="W1" s="8" t="s">
        <v>35</v>
      </c>
      <c r="X1" s="8" t="s">
        <v>36</v>
      </c>
      <c r="Y1" s="8" t="s">
        <v>37</v>
      </c>
      <c r="Z1" s="8" t="s">
        <v>38</v>
      </c>
      <c r="AA1" s="8" t="s">
        <v>39</v>
      </c>
      <c r="AB1" s="8" t="s">
        <v>33</v>
      </c>
      <c r="AC1" s="8" t="s">
        <v>34</v>
      </c>
      <c r="AD1" s="8" t="s">
        <v>35</v>
      </c>
      <c r="AE1" s="8" t="s">
        <v>36</v>
      </c>
      <c r="AF1" s="8" t="s">
        <v>37</v>
      </c>
      <c r="AG1" s="8" t="s">
        <v>38</v>
      </c>
      <c r="AH1" s="8" t="s">
        <v>39</v>
      </c>
      <c r="AI1" s="8" t="s">
        <v>33</v>
      </c>
      <c r="AJ1" s="8" t="s">
        <v>34</v>
      </c>
      <c r="AK1" s="8" t="s">
        <v>35</v>
      </c>
      <c r="AL1" s="8" t="s">
        <v>36</v>
      </c>
      <c r="AM1" s="8" t="s">
        <v>37</v>
      </c>
      <c r="AN1" s="8" t="s">
        <v>38</v>
      </c>
      <c r="AO1" s="8" t="s">
        <v>39</v>
      </c>
      <c r="AP1" s="8" t="s">
        <v>33</v>
      </c>
      <c r="AQ1" s="8" t="s">
        <v>34</v>
      </c>
      <c r="AR1" s="8" t="s">
        <v>35</v>
      </c>
      <c r="AS1" s="8" t="s">
        <v>36</v>
      </c>
      <c r="AT1" s="8" t="s">
        <v>37</v>
      </c>
      <c r="AU1" s="8" t="s">
        <v>38</v>
      </c>
      <c r="AV1" s="8" t="s">
        <v>39</v>
      </c>
      <c r="AW1" s="8" t="s">
        <v>33</v>
      </c>
      <c r="AX1" s="8" t="s">
        <v>34</v>
      </c>
      <c r="AY1" s="8" t="s">
        <v>35</v>
      </c>
      <c r="AZ1" s="8" t="s">
        <v>36</v>
      </c>
      <c r="BA1" s="8" t="s">
        <v>37</v>
      </c>
      <c r="BB1" s="8" t="s">
        <v>38</v>
      </c>
      <c r="BC1" s="8" t="s">
        <v>39</v>
      </c>
      <c r="BD1" s="8" t="s">
        <v>33</v>
      </c>
      <c r="BE1" s="8" t="s">
        <v>34</v>
      </c>
      <c r="BF1" s="8" t="s">
        <v>35</v>
      </c>
      <c r="BG1" s="8" t="s">
        <v>36</v>
      </c>
      <c r="BH1" s="8" t="s">
        <v>37</v>
      </c>
      <c r="BI1" s="8" t="s">
        <v>38</v>
      </c>
      <c r="BJ1" s="8" t="s">
        <v>39</v>
      </c>
      <c r="BK1" s="8" t="s">
        <v>33</v>
      </c>
      <c r="BL1" s="8" t="s">
        <v>34</v>
      </c>
      <c r="BM1" s="8" t="s">
        <v>35</v>
      </c>
      <c r="BN1" s="8" t="s">
        <v>36</v>
      </c>
      <c r="BO1" s="8" t="s">
        <v>37</v>
      </c>
      <c r="BP1" s="8" t="s">
        <v>38</v>
      </c>
      <c r="BQ1" s="8" t="s">
        <v>39</v>
      </c>
      <c r="BR1" s="8" t="s">
        <v>33</v>
      </c>
      <c r="BS1" s="8" t="s">
        <v>34</v>
      </c>
      <c r="BT1" s="8" t="s">
        <v>35</v>
      </c>
      <c r="BU1" s="8" t="s">
        <v>36</v>
      </c>
      <c r="BV1" s="8" t="s">
        <v>37</v>
      </c>
      <c r="BW1" s="8" t="s">
        <v>38</v>
      </c>
      <c r="BX1" s="8" t="s">
        <v>39</v>
      </c>
      <c r="BY1" s="8" t="s">
        <v>33</v>
      </c>
      <c r="BZ1" s="8" t="s">
        <v>34</v>
      </c>
      <c r="CA1" s="8" t="s">
        <v>35</v>
      </c>
      <c r="CB1" s="8" t="s">
        <v>36</v>
      </c>
      <c r="CC1" s="8" t="s">
        <v>37</v>
      </c>
      <c r="CD1" s="8" t="s">
        <v>38</v>
      </c>
      <c r="CE1" s="8" t="s">
        <v>39</v>
      </c>
      <c r="CF1" s="8" t="s">
        <v>33</v>
      </c>
      <c r="CG1" s="8" t="s">
        <v>34</v>
      </c>
      <c r="CH1" s="8" t="s">
        <v>35</v>
      </c>
      <c r="CI1" s="8" t="s">
        <v>36</v>
      </c>
      <c r="CJ1" s="8" t="s">
        <v>37</v>
      </c>
      <c r="CK1" s="8" t="s">
        <v>38</v>
      </c>
      <c r="CL1" s="8" t="s">
        <v>39</v>
      </c>
      <c r="CM1" s="8" t="s">
        <v>33</v>
      </c>
      <c r="CN1" s="8" t="s">
        <v>34</v>
      </c>
      <c r="CO1" s="8" t="s">
        <v>35</v>
      </c>
      <c r="CP1" s="8" t="s">
        <v>36</v>
      </c>
      <c r="CQ1" s="8" t="s">
        <v>37</v>
      </c>
      <c r="CR1" s="8" t="s">
        <v>38</v>
      </c>
      <c r="CS1" s="8" t="s">
        <v>39</v>
      </c>
      <c r="CT1" s="8" t="s">
        <v>33</v>
      </c>
      <c r="CU1" s="8" t="s">
        <v>34</v>
      </c>
      <c r="CV1" s="8" t="s">
        <v>35</v>
      </c>
      <c r="CW1" s="8" t="s">
        <v>36</v>
      </c>
      <c r="CX1" s="8" t="s">
        <v>37</v>
      </c>
      <c r="CY1" s="8" t="s">
        <v>38</v>
      </c>
      <c r="CZ1" s="8" t="s">
        <v>39</v>
      </c>
      <c r="DA1" s="8" t="s">
        <v>33</v>
      </c>
      <c r="DB1" s="8" t="s">
        <v>34</v>
      </c>
      <c r="DC1" s="8" t="s">
        <v>35</v>
      </c>
      <c r="DD1" s="8" t="s">
        <v>36</v>
      </c>
      <c r="DE1" s="8" t="s">
        <v>37</v>
      </c>
      <c r="DF1" s="8" t="s">
        <v>38</v>
      </c>
      <c r="DG1" s="8" t="s">
        <v>39</v>
      </c>
      <c r="DH1" s="8" t="s">
        <v>33</v>
      </c>
      <c r="DI1" s="8" t="s">
        <v>34</v>
      </c>
      <c r="DJ1" s="8" t="s">
        <v>35</v>
      </c>
      <c r="DK1" s="8" t="s">
        <v>36</v>
      </c>
      <c r="DL1" s="8" t="s">
        <v>37</v>
      </c>
      <c r="DM1" s="8" t="s">
        <v>38</v>
      </c>
      <c r="DN1" s="8" t="s">
        <v>39</v>
      </c>
      <c r="DO1" s="8" t="s">
        <v>33</v>
      </c>
      <c r="DP1" s="8" t="s">
        <v>34</v>
      </c>
      <c r="DQ1" s="8" t="s">
        <v>35</v>
      </c>
      <c r="DR1" s="8" t="s">
        <v>36</v>
      </c>
      <c r="DS1" s="8" t="s">
        <v>37</v>
      </c>
      <c r="DT1" s="8" t="s">
        <v>38</v>
      </c>
      <c r="DU1" s="8" t="s">
        <v>39</v>
      </c>
      <c r="DV1" s="8" t="s">
        <v>33</v>
      </c>
      <c r="DW1" s="8" t="s">
        <v>34</v>
      </c>
      <c r="DX1" s="8" t="s">
        <v>35</v>
      </c>
      <c r="DY1" s="8" t="s">
        <v>36</v>
      </c>
      <c r="DZ1" s="8" t="s">
        <v>37</v>
      </c>
      <c r="EA1" s="8" t="s">
        <v>38</v>
      </c>
      <c r="EB1" s="8" t="s">
        <v>39</v>
      </c>
      <c r="EC1" s="8" t="s">
        <v>33</v>
      </c>
      <c r="ED1" s="8" t="s">
        <v>34</v>
      </c>
      <c r="EE1" s="8" t="s">
        <v>35</v>
      </c>
      <c r="EF1" s="8" t="s">
        <v>36</v>
      </c>
      <c r="EG1" s="8" t="s">
        <v>37</v>
      </c>
      <c r="EH1" s="8" t="s">
        <v>38</v>
      </c>
      <c r="EI1" s="8" t="s">
        <v>39</v>
      </c>
    </row>
    <row r="2" spans="1:139" ht="29.25" x14ac:dyDescent="0.2">
      <c r="A2" s="68"/>
      <c r="B2" s="68"/>
      <c r="C2" s="68"/>
      <c r="D2" s="68"/>
      <c r="E2" s="69"/>
      <c r="F2" s="2" t="s">
        <v>40</v>
      </c>
      <c r="G2" s="2" t="s">
        <v>41</v>
      </c>
      <c r="H2" s="2" t="s">
        <v>22</v>
      </c>
      <c r="I2" s="2" t="s">
        <v>40</v>
      </c>
      <c r="J2" s="2" t="s">
        <v>41</v>
      </c>
      <c r="K2" s="2" t="s">
        <v>22</v>
      </c>
      <c r="L2" s="68"/>
      <c r="M2" s="69"/>
      <c r="N2" s="10">
        <v>46055</v>
      </c>
      <c r="O2" s="10">
        <v>46056</v>
      </c>
      <c r="P2" s="10">
        <v>46057</v>
      </c>
      <c r="Q2" s="10">
        <v>46058</v>
      </c>
      <c r="R2" s="10">
        <v>46059</v>
      </c>
      <c r="S2" s="10">
        <v>46060</v>
      </c>
      <c r="T2" s="10">
        <v>46061</v>
      </c>
      <c r="U2" s="10">
        <v>46062</v>
      </c>
      <c r="V2" s="10">
        <v>46063</v>
      </c>
      <c r="W2" s="10">
        <v>46064</v>
      </c>
      <c r="X2" s="10">
        <v>46065</v>
      </c>
      <c r="Y2" s="10">
        <v>46066</v>
      </c>
      <c r="Z2" s="10">
        <v>46067</v>
      </c>
      <c r="AA2" s="10">
        <v>46068</v>
      </c>
      <c r="AB2" s="10">
        <v>46069</v>
      </c>
      <c r="AC2" s="10">
        <v>46070</v>
      </c>
      <c r="AD2" s="10">
        <v>46071</v>
      </c>
      <c r="AE2" s="10">
        <v>46072</v>
      </c>
      <c r="AF2" s="10">
        <v>46073</v>
      </c>
      <c r="AG2" s="10">
        <v>46074</v>
      </c>
      <c r="AH2" s="10">
        <v>46075</v>
      </c>
      <c r="AI2" s="10">
        <v>46076</v>
      </c>
      <c r="AJ2" s="10">
        <v>46077</v>
      </c>
      <c r="AK2" s="10">
        <v>46078</v>
      </c>
      <c r="AL2" s="10">
        <v>46079</v>
      </c>
      <c r="AM2" s="10">
        <v>46080</v>
      </c>
      <c r="AN2" s="10">
        <v>46081</v>
      </c>
      <c r="AO2" s="10">
        <v>46082</v>
      </c>
      <c r="AP2" s="10">
        <v>46083</v>
      </c>
      <c r="AQ2" s="10">
        <v>46084</v>
      </c>
      <c r="AR2" s="10">
        <v>46085</v>
      </c>
      <c r="AS2" s="10">
        <v>46086</v>
      </c>
      <c r="AT2" s="10">
        <v>46087</v>
      </c>
      <c r="AU2" s="10">
        <v>46088</v>
      </c>
      <c r="AV2" s="10">
        <v>46089</v>
      </c>
      <c r="AW2" s="10">
        <v>46090</v>
      </c>
      <c r="AX2" s="10">
        <v>46091</v>
      </c>
      <c r="AY2" s="10">
        <v>46092</v>
      </c>
      <c r="AZ2" s="10">
        <v>46093</v>
      </c>
      <c r="BA2" s="10">
        <v>46094</v>
      </c>
      <c r="BB2" s="10">
        <v>46095</v>
      </c>
      <c r="BC2" s="10">
        <v>46096</v>
      </c>
      <c r="BD2" s="10">
        <v>46097</v>
      </c>
      <c r="BE2" s="10">
        <v>46098</v>
      </c>
      <c r="BF2" s="10">
        <v>46099</v>
      </c>
      <c r="BG2" s="10">
        <v>46100</v>
      </c>
      <c r="BH2" s="10">
        <v>46101</v>
      </c>
      <c r="BI2" s="10">
        <v>46102</v>
      </c>
      <c r="BJ2" s="10">
        <v>46103</v>
      </c>
      <c r="BK2" s="10">
        <v>46104</v>
      </c>
      <c r="BL2" s="10">
        <v>46105</v>
      </c>
      <c r="BM2" s="10">
        <v>46106</v>
      </c>
      <c r="BN2" s="10">
        <v>46107</v>
      </c>
      <c r="BO2" s="10">
        <v>46108</v>
      </c>
      <c r="BP2" s="10">
        <v>46109</v>
      </c>
      <c r="BQ2" s="10">
        <v>46110</v>
      </c>
      <c r="BR2" s="10">
        <v>46111</v>
      </c>
      <c r="BS2" s="10">
        <v>46112</v>
      </c>
      <c r="BT2" s="10">
        <v>46113</v>
      </c>
      <c r="BU2" s="10">
        <v>46114</v>
      </c>
      <c r="BV2" s="10">
        <v>46115</v>
      </c>
      <c r="BW2" s="10">
        <v>46116</v>
      </c>
      <c r="BX2" s="10">
        <v>46117</v>
      </c>
      <c r="BY2" s="10">
        <v>46118</v>
      </c>
      <c r="BZ2" s="10">
        <v>46119</v>
      </c>
      <c r="CA2" s="10">
        <v>46120</v>
      </c>
      <c r="CB2" s="10">
        <v>46121</v>
      </c>
      <c r="CC2" s="10">
        <v>46122</v>
      </c>
      <c r="CD2" s="10">
        <v>46123</v>
      </c>
      <c r="CE2" s="10">
        <v>46124</v>
      </c>
      <c r="CF2" s="10">
        <v>46125</v>
      </c>
      <c r="CG2" s="10">
        <v>46126</v>
      </c>
      <c r="CH2" s="10">
        <v>46127</v>
      </c>
      <c r="CI2" s="10">
        <v>46128</v>
      </c>
      <c r="CJ2" s="10">
        <v>46129</v>
      </c>
      <c r="CK2" s="10">
        <v>46130</v>
      </c>
      <c r="CL2" s="10">
        <v>46131</v>
      </c>
      <c r="CM2" s="10">
        <v>46132</v>
      </c>
      <c r="CN2" s="10">
        <v>46133</v>
      </c>
      <c r="CO2" s="10">
        <v>46134</v>
      </c>
      <c r="CP2" s="10">
        <v>46135</v>
      </c>
      <c r="CQ2" s="10">
        <v>46136</v>
      </c>
      <c r="CR2" s="10">
        <v>46137</v>
      </c>
      <c r="CS2" s="10">
        <v>46138</v>
      </c>
      <c r="CT2" s="10">
        <v>46139</v>
      </c>
      <c r="CU2" s="10">
        <v>46140</v>
      </c>
      <c r="CV2" s="10">
        <v>46141</v>
      </c>
      <c r="CW2" s="10">
        <v>46142</v>
      </c>
      <c r="CX2" s="10">
        <v>46143</v>
      </c>
      <c r="CY2" s="10">
        <v>46144</v>
      </c>
      <c r="CZ2" s="10">
        <v>46145</v>
      </c>
      <c r="DA2" s="10">
        <v>46146</v>
      </c>
      <c r="DB2" s="10">
        <v>46147</v>
      </c>
      <c r="DC2" s="10">
        <v>46148</v>
      </c>
      <c r="DD2" s="10">
        <v>46149</v>
      </c>
      <c r="DE2" s="10">
        <v>46150</v>
      </c>
      <c r="DF2" s="10">
        <v>46151</v>
      </c>
      <c r="DG2" s="10">
        <v>46152</v>
      </c>
      <c r="DH2" s="10">
        <v>46153</v>
      </c>
      <c r="DI2" s="10">
        <v>46154</v>
      </c>
      <c r="DJ2" s="10">
        <v>46155</v>
      </c>
      <c r="DK2" s="10">
        <v>46156</v>
      </c>
      <c r="DL2" s="10">
        <v>46157</v>
      </c>
      <c r="DM2" s="10">
        <v>46158</v>
      </c>
      <c r="DN2" s="10">
        <v>46159</v>
      </c>
      <c r="DO2" s="10">
        <v>46160</v>
      </c>
      <c r="DP2" s="10">
        <v>46161</v>
      </c>
      <c r="DQ2" s="10">
        <v>46162</v>
      </c>
      <c r="DR2" s="10">
        <v>46163</v>
      </c>
      <c r="DS2" s="10">
        <v>46164</v>
      </c>
      <c r="DT2" s="10">
        <v>46165</v>
      </c>
      <c r="DU2" s="10">
        <v>46166</v>
      </c>
      <c r="DV2" s="10">
        <v>46167</v>
      </c>
      <c r="DW2" s="10">
        <v>46168</v>
      </c>
      <c r="DX2" s="10">
        <v>46169</v>
      </c>
      <c r="DY2" s="10">
        <v>46170</v>
      </c>
      <c r="DZ2" s="10">
        <v>46171</v>
      </c>
      <c r="EA2" s="10">
        <v>46172</v>
      </c>
      <c r="EB2" s="10">
        <v>46173</v>
      </c>
      <c r="EC2" s="10">
        <v>46174</v>
      </c>
      <c r="ED2" s="10">
        <v>46175</v>
      </c>
      <c r="EE2" s="10">
        <v>46176</v>
      </c>
      <c r="EF2" s="10">
        <v>46177</v>
      </c>
      <c r="EG2" s="10">
        <v>46178</v>
      </c>
      <c r="EH2" s="10">
        <v>46179</v>
      </c>
      <c r="EI2" s="10">
        <v>46180</v>
      </c>
    </row>
    <row r="3" spans="1:139" ht="15.75" customHeight="1" x14ac:dyDescent="0.2">
      <c r="A3" s="3" t="s">
        <v>42</v>
      </c>
      <c r="B3" s="11"/>
      <c r="C3" s="11"/>
      <c r="D3" s="11"/>
      <c r="E3" s="12"/>
      <c r="F3" s="4"/>
      <c r="G3" s="4"/>
      <c r="H3" s="5" t="str">
        <f t="shared" ref="H3:H8" si="0">IF(OR(F3="",G3=""),"",IF(G3-F3=0,"",G3-F3))</f>
        <v/>
      </c>
      <c r="I3" s="4"/>
      <c r="J3" s="4"/>
      <c r="K3" s="5" t="str">
        <f t="shared" ref="K3:K8" si="1">IF(OR(I3="",J3=""),"",IF(J3-I3=0,"",J3-I3))</f>
        <v/>
      </c>
      <c r="L3" s="6">
        <v>0</v>
      </c>
      <c r="M3" s="13">
        <f>E3*L3</f>
        <v>0</v>
      </c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</row>
    <row r="4" spans="1:139" ht="15.75" customHeight="1" x14ac:dyDescent="0.2">
      <c r="A4" s="3" t="s">
        <v>43</v>
      </c>
      <c r="B4" s="11"/>
      <c r="C4" s="11"/>
      <c r="D4" s="11"/>
      <c r="E4" s="12"/>
      <c r="F4" s="4"/>
      <c r="G4" s="4"/>
      <c r="H4" s="5" t="str">
        <f t="shared" si="0"/>
        <v/>
      </c>
      <c r="I4" s="4"/>
      <c r="J4" s="4"/>
      <c r="K4" s="5" t="str">
        <f t="shared" si="1"/>
        <v/>
      </c>
      <c r="L4" s="6">
        <v>0</v>
      </c>
      <c r="M4" s="13">
        <f t="shared" ref="M4:M52" si="2">E4*L4</f>
        <v>0</v>
      </c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</row>
    <row r="5" spans="1:139" ht="15.75" customHeight="1" x14ac:dyDescent="0.2">
      <c r="A5" s="3" t="s">
        <v>44</v>
      </c>
      <c r="B5" s="11"/>
      <c r="C5" s="11"/>
      <c r="D5" s="11"/>
      <c r="E5" s="12"/>
      <c r="F5" s="4"/>
      <c r="G5" s="4"/>
      <c r="H5" s="5" t="str">
        <f t="shared" si="0"/>
        <v/>
      </c>
      <c r="I5" s="4"/>
      <c r="J5" s="4"/>
      <c r="K5" s="5" t="str">
        <f t="shared" si="1"/>
        <v/>
      </c>
      <c r="L5" s="6">
        <v>0</v>
      </c>
      <c r="M5" s="13">
        <f t="shared" si="2"/>
        <v>0</v>
      </c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</row>
    <row r="6" spans="1:139" ht="15.75" customHeight="1" x14ac:dyDescent="0.2">
      <c r="A6" s="3" t="s">
        <v>45</v>
      </c>
      <c r="B6" s="11"/>
      <c r="C6" s="11"/>
      <c r="D6" s="11"/>
      <c r="E6" s="12"/>
      <c r="F6" s="4"/>
      <c r="G6" s="4"/>
      <c r="H6" s="5" t="str">
        <f t="shared" si="0"/>
        <v/>
      </c>
      <c r="I6" s="4"/>
      <c r="J6" s="4"/>
      <c r="K6" s="5" t="str">
        <f t="shared" si="1"/>
        <v/>
      </c>
      <c r="L6" s="6">
        <v>0</v>
      </c>
      <c r="M6" s="13">
        <f t="shared" si="2"/>
        <v>0</v>
      </c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</row>
    <row r="7" spans="1:139" ht="15.75" customHeight="1" x14ac:dyDescent="0.2">
      <c r="A7" s="3" t="s">
        <v>46</v>
      </c>
      <c r="B7" s="11"/>
      <c r="C7" s="11"/>
      <c r="D7" s="11"/>
      <c r="E7" s="12"/>
      <c r="F7" s="4"/>
      <c r="G7" s="4"/>
      <c r="H7" s="5" t="str">
        <f t="shared" si="0"/>
        <v/>
      </c>
      <c r="I7" s="4"/>
      <c r="J7" s="4"/>
      <c r="K7" s="5" t="str">
        <f t="shared" si="1"/>
        <v/>
      </c>
      <c r="L7" s="6">
        <v>0</v>
      </c>
      <c r="M7" s="13">
        <f t="shared" si="2"/>
        <v>0</v>
      </c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</row>
    <row r="8" spans="1:139" ht="15.75" customHeight="1" x14ac:dyDescent="0.2">
      <c r="A8" s="3" t="s">
        <v>47</v>
      </c>
      <c r="B8" s="11"/>
      <c r="C8" s="11"/>
      <c r="D8" s="11"/>
      <c r="E8" s="12"/>
      <c r="F8" s="4"/>
      <c r="G8" s="4"/>
      <c r="H8" s="5" t="str">
        <f t="shared" si="0"/>
        <v/>
      </c>
      <c r="I8" s="4"/>
      <c r="J8" s="4"/>
      <c r="K8" s="5" t="str">
        <f t="shared" si="1"/>
        <v/>
      </c>
      <c r="L8" s="6">
        <v>0</v>
      </c>
      <c r="M8" s="13">
        <f t="shared" si="2"/>
        <v>0</v>
      </c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</row>
    <row r="9" spans="1:139" ht="15.75" customHeight="1" x14ac:dyDescent="0.2">
      <c r="A9" s="3" t="s">
        <v>48</v>
      </c>
      <c r="B9" s="11"/>
      <c r="C9" s="11"/>
      <c r="D9" s="11"/>
      <c r="E9" s="12"/>
      <c r="F9" s="4"/>
      <c r="G9" s="4"/>
      <c r="H9" s="5"/>
      <c r="I9" s="4"/>
      <c r="J9" s="4"/>
      <c r="K9" s="5"/>
      <c r="L9" s="6">
        <v>0</v>
      </c>
      <c r="M9" s="13">
        <f t="shared" si="2"/>
        <v>0</v>
      </c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</row>
    <row r="10" spans="1:139" ht="15.75" customHeight="1" x14ac:dyDescent="0.2">
      <c r="A10" s="3" t="s">
        <v>49</v>
      </c>
      <c r="B10" s="11"/>
      <c r="C10" s="11"/>
      <c r="D10" s="11"/>
      <c r="E10" s="12"/>
      <c r="F10" s="4"/>
      <c r="G10" s="4"/>
      <c r="H10" s="5" t="str">
        <f t="shared" ref="H10:H52" si="3">IF(OR(F10="",G10=""),"",IF(G10-F10=0,"",G10-F10))</f>
        <v/>
      </c>
      <c r="I10" s="4"/>
      <c r="J10" s="4"/>
      <c r="K10" s="5" t="str">
        <f t="shared" ref="K10:K52" si="4">IF(OR(I10="",J10=""),"",IF(J10-I10=0,"",J10-I10))</f>
        <v/>
      </c>
      <c r="L10" s="6">
        <v>0</v>
      </c>
      <c r="M10" s="13">
        <f t="shared" si="2"/>
        <v>0</v>
      </c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</row>
    <row r="11" spans="1:139" ht="15.75" customHeight="1" x14ac:dyDescent="0.2">
      <c r="A11" s="3" t="s">
        <v>50</v>
      </c>
      <c r="B11" s="11"/>
      <c r="C11" s="11"/>
      <c r="D11" s="11"/>
      <c r="E11" s="12"/>
      <c r="F11" s="4"/>
      <c r="G11" s="4"/>
      <c r="H11" s="5" t="str">
        <f t="shared" si="3"/>
        <v/>
      </c>
      <c r="I11" s="4"/>
      <c r="J11" s="4"/>
      <c r="K11" s="5" t="str">
        <f t="shared" si="4"/>
        <v/>
      </c>
      <c r="L11" s="6">
        <v>0</v>
      </c>
      <c r="M11" s="13">
        <f t="shared" si="2"/>
        <v>0</v>
      </c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7"/>
      <c r="ED11" s="7"/>
      <c r="EE11" s="7"/>
      <c r="EF11" s="7"/>
      <c r="EG11" s="7"/>
      <c r="EH11" s="7"/>
      <c r="EI11" s="7"/>
    </row>
    <row r="12" spans="1:139" ht="15.75" customHeight="1" x14ac:dyDescent="0.2">
      <c r="A12" s="3" t="s">
        <v>51</v>
      </c>
      <c r="B12" s="11"/>
      <c r="C12" s="11"/>
      <c r="D12" s="11"/>
      <c r="E12" s="12"/>
      <c r="F12" s="4"/>
      <c r="G12" s="4"/>
      <c r="H12" s="5" t="str">
        <f t="shared" si="3"/>
        <v/>
      </c>
      <c r="I12" s="4"/>
      <c r="J12" s="4"/>
      <c r="K12" s="5" t="str">
        <f t="shared" si="4"/>
        <v/>
      </c>
      <c r="L12" s="6">
        <v>0</v>
      </c>
      <c r="M12" s="13">
        <f t="shared" si="2"/>
        <v>0</v>
      </c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</row>
    <row r="13" spans="1:139" ht="15.75" customHeight="1" x14ac:dyDescent="0.2">
      <c r="A13" s="3" t="s">
        <v>52</v>
      </c>
      <c r="B13" s="11"/>
      <c r="C13" s="11"/>
      <c r="D13" s="11"/>
      <c r="E13" s="12"/>
      <c r="F13" s="4"/>
      <c r="G13" s="4"/>
      <c r="H13" s="5" t="str">
        <f t="shared" si="3"/>
        <v/>
      </c>
      <c r="I13" s="4"/>
      <c r="J13" s="4"/>
      <c r="K13" s="5" t="str">
        <f t="shared" si="4"/>
        <v/>
      </c>
      <c r="L13" s="6">
        <v>0</v>
      </c>
      <c r="M13" s="13">
        <f t="shared" si="2"/>
        <v>0</v>
      </c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</row>
    <row r="14" spans="1:139" ht="15.75" customHeight="1" x14ac:dyDescent="0.2">
      <c r="A14" s="3" t="s">
        <v>53</v>
      </c>
      <c r="B14" s="11"/>
      <c r="C14" s="11"/>
      <c r="D14" s="11"/>
      <c r="E14" s="12"/>
      <c r="F14" s="4"/>
      <c r="G14" s="4"/>
      <c r="H14" s="5" t="str">
        <f t="shared" si="3"/>
        <v/>
      </c>
      <c r="I14" s="4"/>
      <c r="J14" s="4"/>
      <c r="K14" s="5" t="str">
        <f t="shared" si="4"/>
        <v/>
      </c>
      <c r="L14" s="6">
        <v>0</v>
      </c>
      <c r="M14" s="13">
        <f t="shared" si="2"/>
        <v>0</v>
      </c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</row>
    <row r="15" spans="1:139" ht="15.75" customHeight="1" x14ac:dyDescent="0.2">
      <c r="A15" s="3" t="s">
        <v>54</v>
      </c>
      <c r="B15" s="11"/>
      <c r="C15" s="11"/>
      <c r="D15" s="11"/>
      <c r="E15" s="12"/>
      <c r="F15" s="4"/>
      <c r="G15" s="4"/>
      <c r="H15" s="5" t="str">
        <f t="shared" si="3"/>
        <v/>
      </c>
      <c r="I15" s="4"/>
      <c r="J15" s="4"/>
      <c r="K15" s="5" t="str">
        <f t="shared" si="4"/>
        <v/>
      </c>
      <c r="L15" s="6">
        <v>0</v>
      </c>
      <c r="M15" s="13">
        <f t="shared" si="2"/>
        <v>0</v>
      </c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</row>
    <row r="16" spans="1:139" ht="15.75" customHeight="1" x14ac:dyDescent="0.2">
      <c r="A16" s="3" t="s">
        <v>55</v>
      </c>
      <c r="B16" s="11"/>
      <c r="C16" s="11"/>
      <c r="D16" s="11"/>
      <c r="E16" s="12"/>
      <c r="F16" s="4"/>
      <c r="G16" s="4"/>
      <c r="H16" s="5" t="str">
        <f t="shared" si="3"/>
        <v/>
      </c>
      <c r="I16" s="4"/>
      <c r="J16" s="4"/>
      <c r="K16" s="5" t="str">
        <f t="shared" si="4"/>
        <v/>
      </c>
      <c r="L16" s="6">
        <v>0</v>
      </c>
      <c r="M16" s="13">
        <f t="shared" si="2"/>
        <v>0</v>
      </c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</row>
    <row r="17" spans="1:139" ht="15.75" customHeight="1" x14ac:dyDescent="0.2">
      <c r="A17" s="3" t="s">
        <v>56</v>
      </c>
      <c r="B17" s="11"/>
      <c r="C17" s="11"/>
      <c r="D17" s="11"/>
      <c r="E17" s="12"/>
      <c r="F17" s="4"/>
      <c r="G17" s="4"/>
      <c r="H17" s="5" t="str">
        <f t="shared" si="3"/>
        <v/>
      </c>
      <c r="I17" s="4"/>
      <c r="J17" s="4"/>
      <c r="K17" s="5" t="str">
        <f t="shared" si="4"/>
        <v/>
      </c>
      <c r="L17" s="6">
        <v>0</v>
      </c>
      <c r="M17" s="13">
        <f t="shared" si="2"/>
        <v>0</v>
      </c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</row>
    <row r="18" spans="1:139" ht="15.75" customHeight="1" x14ac:dyDescent="0.2">
      <c r="A18" s="3" t="s">
        <v>57</v>
      </c>
      <c r="B18" s="11"/>
      <c r="C18" s="11"/>
      <c r="D18" s="11"/>
      <c r="E18" s="12"/>
      <c r="F18" s="4"/>
      <c r="G18" s="4"/>
      <c r="H18" s="5" t="str">
        <f t="shared" si="3"/>
        <v/>
      </c>
      <c r="I18" s="4"/>
      <c r="J18" s="4"/>
      <c r="K18" s="5" t="str">
        <f t="shared" si="4"/>
        <v/>
      </c>
      <c r="L18" s="6">
        <v>0</v>
      </c>
      <c r="M18" s="13">
        <f t="shared" si="2"/>
        <v>0</v>
      </c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</row>
    <row r="19" spans="1:139" ht="15.75" customHeight="1" x14ac:dyDescent="0.2">
      <c r="A19" s="3" t="s">
        <v>58</v>
      </c>
      <c r="B19" s="11"/>
      <c r="C19" s="11"/>
      <c r="D19" s="11"/>
      <c r="E19" s="12"/>
      <c r="F19" s="4"/>
      <c r="G19" s="4"/>
      <c r="H19" s="5" t="str">
        <f t="shared" si="3"/>
        <v/>
      </c>
      <c r="I19" s="4"/>
      <c r="J19" s="4"/>
      <c r="K19" s="5" t="str">
        <f t="shared" si="4"/>
        <v/>
      </c>
      <c r="L19" s="6">
        <v>0</v>
      </c>
      <c r="M19" s="13">
        <f t="shared" si="2"/>
        <v>0</v>
      </c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7"/>
    </row>
    <row r="20" spans="1:139" ht="15.75" customHeight="1" x14ac:dyDescent="0.2">
      <c r="A20" s="3" t="s">
        <v>59</v>
      </c>
      <c r="B20" s="11"/>
      <c r="C20" s="11"/>
      <c r="D20" s="11"/>
      <c r="E20" s="12"/>
      <c r="F20" s="4"/>
      <c r="G20" s="4"/>
      <c r="H20" s="5" t="str">
        <f t="shared" si="3"/>
        <v/>
      </c>
      <c r="I20" s="4"/>
      <c r="J20" s="4"/>
      <c r="K20" s="5" t="str">
        <f t="shared" si="4"/>
        <v/>
      </c>
      <c r="L20" s="6">
        <v>0</v>
      </c>
      <c r="M20" s="13">
        <f t="shared" si="2"/>
        <v>0</v>
      </c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7"/>
      <c r="EH20" s="7"/>
      <c r="EI20" s="7"/>
    </row>
    <row r="21" spans="1:139" ht="15.75" customHeight="1" x14ac:dyDescent="0.2">
      <c r="A21" s="3" t="s">
        <v>60</v>
      </c>
      <c r="B21" s="11"/>
      <c r="C21" s="11"/>
      <c r="D21" s="11"/>
      <c r="E21" s="12"/>
      <c r="F21" s="4"/>
      <c r="G21" s="4"/>
      <c r="H21" s="5" t="str">
        <f t="shared" si="3"/>
        <v/>
      </c>
      <c r="I21" s="4"/>
      <c r="J21" s="4"/>
      <c r="K21" s="5" t="str">
        <f t="shared" si="4"/>
        <v/>
      </c>
      <c r="L21" s="6">
        <v>0</v>
      </c>
      <c r="M21" s="13">
        <f t="shared" si="2"/>
        <v>0</v>
      </c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</row>
    <row r="22" spans="1:139" ht="15.75" customHeight="1" x14ac:dyDescent="0.2">
      <c r="A22" s="3" t="s">
        <v>61</v>
      </c>
      <c r="B22" s="11"/>
      <c r="C22" s="11"/>
      <c r="D22" s="11"/>
      <c r="E22" s="12"/>
      <c r="F22" s="4"/>
      <c r="G22" s="4"/>
      <c r="H22" s="5" t="str">
        <f t="shared" si="3"/>
        <v/>
      </c>
      <c r="I22" s="4"/>
      <c r="J22" s="4"/>
      <c r="K22" s="5" t="str">
        <f t="shared" si="4"/>
        <v/>
      </c>
      <c r="L22" s="6">
        <v>0</v>
      </c>
      <c r="M22" s="13">
        <f t="shared" si="2"/>
        <v>0</v>
      </c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</row>
    <row r="23" spans="1:139" ht="15.75" customHeight="1" x14ac:dyDescent="0.2">
      <c r="A23" s="3" t="s">
        <v>62</v>
      </c>
      <c r="B23" s="11"/>
      <c r="C23" s="11"/>
      <c r="D23" s="11"/>
      <c r="E23" s="12"/>
      <c r="F23" s="4"/>
      <c r="G23" s="4"/>
      <c r="H23" s="5" t="str">
        <f t="shared" si="3"/>
        <v/>
      </c>
      <c r="I23" s="4"/>
      <c r="J23" s="4"/>
      <c r="K23" s="5" t="str">
        <f t="shared" si="4"/>
        <v/>
      </c>
      <c r="L23" s="6">
        <v>0</v>
      </c>
      <c r="M23" s="13">
        <f t="shared" si="2"/>
        <v>0</v>
      </c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7"/>
      <c r="EF23" s="7"/>
      <c r="EG23" s="7"/>
      <c r="EH23" s="7"/>
      <c r="EI23" s="7"/>
    </row>
    <row r="24" spans="1:139" ht="15.75" customHeight="1" x14ac:dyDescent="0.2">
      <c r="A24" s="3" t="s">
        <v>63</v>
      </c>
      <c r="B24" s="11"/>
      <c r="C24" s="11"/>
      <c r="D24" s="11"/>
      <c r="E24" s="12"/>
      <c r="F24" s="4"/>
      <c r="G24" s="4"/>
      <c r="H24" s="5" t="str">
        <f t="shared" si="3"/>
        <v/>
      </c>
      <c r="I24" s="4"/>
      <c r="J24" s="4"/>
      <c r="K24" s="5" t="str">
        <f t="shared" si="4"/>
        <v/>
      </c>
      <c r="L24" s="6">
        <v>0</v>
      </c>
      <c r="M24" s="13">
        <f t="shared" si="2"/>
        <v>0</v>
      </c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</row>
    <row r="25" spans="1:139" ht="15.75" customHeight="1" x14ac:dyDescent="0.2">
      <c r="A25" s="3" t="s">
        <v>64</v>
      </c>
      <c r="B25" s="11"/>
      <c r="C25" s="11"/>
      <c r="D25" s="11"/>
      <c r="E25" s="12"/>
      <c r="F25" s="4"/>
      <c r="G25" s="4"/>
      <c r="H25" s="5" t="str">
        <f t="shared" si="3"/>
        <v/>
      </c>
      <c r="I25" s="4"/>
      <c r="J25" s="4"/>
      <c r="K25" s="5" t="str">
        <f t="shared" si="4"/>
        <v/>
      </c>
      <c r="L25" s="6">
        <v>0</v>
      </c>
      <c r="M25" s="13">
        <f t="shared" si="2"/>
        <v>0</v>
      </c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7"/>
      <c r="EH25" s="7"/>
      <c r="EI25" s="7"/>
    </row>
    <row r="26" spans="1:139" ht="15.75" customHeight="1" x14ac:dyDescent="0.2">
      <c r="A26" s="3" t="s">
        <v>65</v>
      </c>
      <c r="B26" s="11"/>
      <c r="C26" s="11"/>
      <c r="D26" s="11"/>
      <c r="E26" s="12"/>
      <c r="F26" s="4"/>
      <c r="G26" s="4"/>
      <c r="H26" s="5" t="str">
        <f t="shared" si="3"/>
        <v/>
      </c>
      <c r="I26" s="4"/>
      <c r="J26" s="4"/>
      <c r="K26" s="5" t="str">
        <f t="shared" si="4"/>
        <v/>
      </c>
      <c r="L26" s="6">
        <v>0</v>
      </c>
      <c r="M26" s="13">
        <f t="shared" si="2"/>
        <v>0</v>
      </c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7"/>
      <c r="EE26" s="7"/>
      <c r="EF26" s="7"/>
      <c r="EG26" s="7"/>
      <c r="EH26" s="7"/>
      <c r="EI26" s="7"/>
    </row>
    <row r="27" spans="1:139" ht="15.75" customHeight="1" x14ac:dyDescent="0.2">
      <c r="A27" s="3" t="s">
        <v>66</v>
      </c>
      <c r="B27" s="11"/>
      <c r="C27" s="11"/>
      <c r="D27" s="11"/>
      <c r="E27" s="12"/>
      <c r="F27" s="4"/>
      <c r="G27" s="4"/>
      <c r="H27" s="5" t="str">
        <f t="shared" si="3"/>
        <v/>
      </c>
      <c r="I27" s="4"/>
      <c r="J27" s="4"/>
      <c r="K27" s="5" t="str">
        <f t="shared" si="4"/>
        <v/>
      </c>
      <c r="L27" s="6">
        <v>0</v>
      </c>
      <c r="M27" s="13">
        <f t="shared" si="2"/>
        <v>0</v>
      </c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7"/>
      <c r="EC27" s="7"/>
      <c r="ED27" s="7"/>
      <c r="EE27" s="7"/>
      <c r="EF27" s="7"/>
      <c r="EG27" s="7"/>
      <c r="EH27" s="7"/>
      <c r="EI27" s="7"/>
    </row>
    <row r="28" spans="1:139" ht="15.75" customHeight="1" x14ac:dyDescent="0.2">
      <c r="A28" s="3" t="s">
        <v>67</v>
      </c>
      <c r="B28" s="11"/>
      <c r="C28" s="11"/>
      <c r="D28" s="11"/>
      <c r="E28" s="12"/>
      <c r="F28" s="4"/>
      <c r="G28" s="4"/>
      <c r="H28" s="5" t="str">
        <f t="shared" si="3"/>
        <v/>
      </c>
      <c r="I28" s="4"/>
      <c r="J28" s="4"/>
      <c r="K28" s="5" t="str">
        <f t="shared" si="4"/>
        <v/>
      </c>
      <c r="L28" s="6">
        <v>0</v>
      </c>
      <c r="M28" s="13">
        <f t="shared" si="2"/>
        <v>0</v>
      </c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  <c r="EC28" s="7"/>
      <c r="ED28" s="7"/>
      <c r="EE28" s="7"/>
      <c r="EF28" s="7"/>
      <c r="EG28" s="7"/>
      <c r="EH28" s="7"/>
      <c r="EI28" s="7"/>
    </row>
    <row r="29" spans="1:139" ht="15.75" customHeight="1" x14ac:dyDescent="0.2">
      <c r="A29" s="3" t="s">
        <v>68</v>
      </c>
      <c r="B29" s="11"/>
      <c r="C29" s="11"/>
      <c r="D29" s="11"/>
      <c r="E29" s="12"/>
      <c r="F29" s="4"/>
      <c r="G29" s="4"/>
      <c r="H29" s="5" t="str">
        <f t="shared" si="3"/>
        <v/>
      </c>
      <c r="I29" s="4"/>
      <c r="J29" s="4"/>
      <c r="K29" s="5" t="str">
        <f t="shared" si="4"/>
        <v/>
      </c>
      <c r="L29" s="6">
        <v>0</v>
      </c>
      <c r="M29" s="13">
        <f t="shared" si="2"/>
        <v>0</v>
      </c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7"/>
      <c r="ED29" s="7"/>
      <c r="EE29" s="7"/>
      <c r="EF29" s="7"/>
      <c r="EG29" s="7"/>
      <c r="EH29" s="7"/>
      <c r="EI29" s="7"/>
    </row>
    <row r="30" spans="1:139" ht="15.75" customHeight="1" x14ac:dyDescent="0.2">
      <c r="A30" s="3" t="s">
        <v>69</v>
      </c>
      <c r="B30" s="11"/>
      <c r="C30" s="11"/>
      <c r="D30" s="11"/>
      <c r="E30" s="12"/>
      <c r="F30" s="4"/>
      <c r="G30" s="4"/>
      <c r="H30" s="5" t="str">
        <f t="shared" si="3"/>
        <v/>
      </c>
      <c r="I30" s="4"/>
      <c r="J30" s="4"/>
      <c r="K30" s="5" t="str">
        <f t="shared" si="4"/>
        <v/>
      </c>
      <c r="L30" s="6">
        <v>0</v>
      </c>
      <c r="M30" s="13">
        <f t="shared" si="2"/>
        <v>0</v>
      </c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7"/>
      <c r="ED30" s="7"/>
      <c r="EE30" s="7"/>
      <c r="EF30" s="7"/>
      <c r="EG30" s="7"/>
      <c r="EH30" s="7"/>
      <c r="EI30" s="7"/>
    </row>
    <row r="31" spans="1:139" ht="15.75" customHeight="1" x14ac:dyDescent="0.2">
      <c r="A31" s="3" t="s">
        <v>70</v>
      </c>
      <c r="B31" s="11"/>
      <c r="C31" s="11"/>
      <c r="D31" s="11"/>
      <c r="E31" s="12"/>
      <c r="F31" s="4"/>
      <c r="G31" s="4"/>
      <c r="H31" s="5" t="str">
        <f t="shared" si="3"/>
        <v/>
      </c>
      <c r="I31" s="4"/>
      <c r="J31" s="4"/>
      <c r="K31" s="5" t="str">
        <f t="shared" si="4"/>
        <v/>
      </c>
      <c r="L31" s="6">
        <v>0</v>
      </c>
      <c r="M31" s="13">
        <f t="shared" si="2"/>
        <v>0</v>
      </c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  <c r="EC31" s="7"/>
      <c r="ED31" s="7"/>
      <c r="EE31" s="7"/>
      <c r="EF31" s="7"/>
      <c r="EG31" s="7"/>
      <c r="EH31" s="7"/>
      <c r="EI31" s="7"/>
    </row>
    <row r="32" spans="1:139" ht="15.75" customHeight="1" x14ac:dyDescent="0.2">
      <c r="A32" s="3" t="s">
        <v>71</v>
      </c>
      <c r="B32" s="11"/>
      <c r="C32" s="11"/>
      <c r="D32" s="11"/>
      <c r="E32" s="12"/>
      <c r="F32" s="4"/>
      <c r="G32" s="4"/>
      <c r="H32" s="5" t="str">
        <f t="shared" si="3"/>
        <v/>
      </c>
      <c r="I32" s="4"/>
      <c r="J32" s="4"/>
      <c r="K32" s="5" t="str">
        <f t="shared" si="4"/>
        <v/>
      </c>
      <c r="L32" s="6">
        <v>0</v>
      </c>
      <c r="M32" s="13">
        <f t="shared" si="2"/>
        <v>0</v>
      </c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7"/>
      <c r="EC32" s="7"/>
      <c r="ED32" s="7"/>
      <c r="EE32" s="7"/>
      <c r="EF32" s="7"/>
      <c r="EG32" s="7"/>
      <c r="EH32" s="7"/>
      <c r="EI32" s="7"/>
    </row>
    <row r="33" spans="1:139" ht="15.75" customHeight="1" x14ac:dyDescent="0.2">
      <c r="A33" s="3" t="s">
        <v>72</v>
      </c>
      <c r="B33" s="11"/>
      <c r="C33" s="11"/>
      <c r="D33" s="11"/>
      <c r="E33" s="12"/>
      <c r="F33" s="4"/>
      <c r="G33" s="4"/>
      <c r="H33" s="5" t="str">
        <f t="shared" si="3"/>
        <v/>
      </c>
      <c r="I33" s="4"/>
      <c r="J33" s="4"/>
      <c r="K33" s="5" t="str">
        <f t="shared" si="4"/>
        <v/>
      </c>
      <c r="L33" s="6">
        <v>0</v>
      </c>
      <c r="M33" s="13">
        <f t="shared" si="2"/>
        <v>0</v>
      </c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7"/>
      <c r="DM33" s="7"/>
      <c r="DN33" s="7"/>
      <c r="DO33" s="7"/>
      <c r="DP33" s="7"/>
      <c r="DQ33" s="7"/>
      <c r="DR33" s="7"/>
      <c r="DS33" s="7"/>
      <c r="DT33" s="7"/>
      <c r="DU33" s="7"/>
      <c r="DV33" s="7"/>
      <c r="DW33" s="7"/>
      <c r="DX33" s="7"/>
      <c r="DY33" s="7"/>
      <c r="DZ33" s="7"/>
      <c r="EA33" s="7"/>
      <c r="EB33" s="7"/>
      <c r="EC33" s="7"/>
      <c r="ED33" s="7"/>
      <c r="EE33" s="7"/>
      <c r="EF33" s="7"/>
      <c r="EG33" s="7"/>
      <c r="EH33" s="7"/>
      <c r="EI33" s="7"/>
    </row>
    <row r="34" spans="1:139" ht="15.75" customHeight="1" x14ac:dyDescent="0.2">
      <c r="A34" s="3" t="s">
        <v>73</v>
      </c>
      <c r="B34" s="11"/>
      <c r="C34" s="11"/>
      <c r="D34" s="11"/>
      <c r="E34" s="12"/>
      <c r="F34" s="4"/>
      <c r="G34" s="4"/>
      <c r="H34" s="5" t="str">
        <f t="shared" si="3"/>
        <v/>
      </c>
      <c r="I34" s="4"/>
      <c r="J34" s="4"/>
      <c r="K34" s="5" t="str">
        <f t="shared" si="4"/>
        <v/>
      </c>
      <c r="L34" s="6">
        <v>0</v>
      </c>
      <c r="M34" s="13">
        <f t="shared" si="2"/>
        <v>0</v>
      </c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7"/>
      <c r="EA34" s="7"/>
      <c r="EB34" s="7"/>
      <c r="EC34" s="7"/>
      <c r="ED34" s="7"/>
      <c r="EE34" s="7"/>
      <c r="EF34" s="7"/>
      <c r="EG34" s="7"/>
      <c r="EH34" s="7"/>
      <c r="EI34" s="7"/>
    </row>
    <row r="35" spans="1:139" ht="15.75" customHeight="1" x14ac:dyDescent="0.2">
      <c r="A35" s="3" t="s">
        <v>74</v>
      </c>
      <c r="B35" s="11"/>
      <c r="C35" s="11"/>
      <c r="D35" s="11"/>
      <c r="E35" s="12"/>
      <c r="F35" s="4"/>
      <c r="G35" s="4"/>
      <c r="H35" s="5" t="str">
        <f t="shared" si="3"/>
        <v/>
      </c>
      <c r="I35" s="4"/>
      <c r="J35" s="4"/>
      <c r="K35" s="5" t="str">
        <f t="shared" si="4"/>
        <v/>
      </c>
      <c r="L35" s="6">
        <v>0</v>
      </c>
      <c r="M35" s="13">
        <f t="shared" si="2"/>
        <v>0</v>
      </c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  <c r="EA35" s="7"/>
      <c r="EB35" s="7"/>
      <c r="EC35" s="7"/>
      <c r="ED35" s="7"/>
      <c r="EE35" s="7"/>
      <c r="EF35" s="7"/>
      <c r="EG35" s="7"/>
      <c r="EH35" s="7"/>
      <c r="EI35" s="7"/>
    </row>
    <row r="36" spans="1:139" ht="15.75" customHeight="1" x14ac:dyDescent="0.2">
      <c r="A36" s="3" t="s">
        <v>75</v>
      </c>
      <c r="B36" s="11"/>
      <c r="C36" s="11"/>
      <c r="D36" s="11"/>
      <c r="E36" s="12"/>
      <c r="F36" s="4"/>
      <c r="G36" s="4"/>
      <c r="H36" s="5" t="str">
        <f t="shared" si="3"/>
        <v/>
      </c>
      <c r="I36" s="4"/>
      <c r="J36" s="4"/>
      <c r="K36" s="5" t="str">
        <f t="shared" si="4"/>
        <v/>
      </c>
      <c r="L36" s="6">
        <v>0</v>
      </c>
      <c r="M36" s="13">
        <f t="shared" si="2"/>
        <v>0</v>
      </c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  <c r="DJ36" s="7"/>
      <c r="DK36" s="7"/>
      <c r="DL36" s="7"/>
      <c r="DM36" s="7"/>
      <c r="DN36" s="7"/>
      <c r="DO36" s="7"/>
      <c r="DP36" s="7"/>
      <c r="DQ36" s="7"/>
      <c r="DR36" s="7"/>
      <c r="DS36" s="7"/>
      <c r="DT36" s="7"/>
      <c r="DU36" s="7"/>
      <c r="DV36" s="7"/>
      <c r="DW36" s="7"/>
      <c r="DX36" s="7"/>
      <c r="DY36" s="7"/>
      <c r="DZ36" s="7"/>
      <c r="EA36" s="7"/>
      <c r="EB36" s="7"/>
      <c r="EC36" s="7"/>
      <c r="ED36" s="7"/>
      <c r="EE36" s="7"/>
      <c r="EF36" s="7"/>
      <c r="EG36" s="7"/>
      <c r="EH36" s="7"/>
      <c r="EI36" s="7"/>
    </row>
    <row r="37" spans="1:139" ht="15.75" customHeight="1" x14ac:dyDescent="0.2">
      <c r="A37" s="3" t="s">
        <v>76</v>
      </c>
      <c r="B37" s="11"/>
      <c r="C37" s="11"/>
      <c r="D37" s="11"/>
      <c r="E37" s="12"/>
      <c r="F37" s="4"/>
      <c r="G37" s="4"/>
      <c r="H37" s="5" t="str">
        <f t="shared" si="3"/>
        <v/>
      </c>
      <c r="I37" s="4"/>
      <c r="J37" s="4"/>
      <c r="K37" s="5" t="str">
        <f t="shared" si="4"/>
        <v/>
      </c>
      <c r="L37" s="6">
        <v>0</v>
      </c>
      <c r="M37" s="13">
        <f t="shared" si="2"/>
        <v>0</v>
      </c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7"/>
      <c r="DI37" s="7"/>
      <c r="DJ37" s="7"/>
      <c r="DK37" s="7"/>
      <c r="DL37" s="7"/>
      <c r="DM37" s="7"/>
      <c r="DN37" s="7"/>
      <c r="DO37" s="7"/>
      <c r="DP37" s="7"/>
      <c r="DQ37" s="7"/>
      <c r="DR37" s="7"/>
      <c r="DS37" s="7"/>
      <c r="DT37" s="7"/>
      <c r="DU37" s="7"/>
      <c r="DV37" s="7"/>
      <c r="DW37" s="7"/>
      <c r="DX37" s="7"/>
      <c r="DY37" s="7"/>
      <c r="DZ37" s="7"/>
      <c r="EA37" s="7"/>
      <c r="EB37" s="7"/>
      <c r="EC37" s="7"/>
      <c r="ED37" s="7"/>
      <c r="EE37" s="7"/>
      <c r="EF37" s="7"/>
      <c r="EG37" s="7"/>
      <c r="EH37" s="7"/>
      <c r="EI37" s="7"/>
    </row>
    <row r="38" spans="1:139" ht="15.75" customHeight="1" x14ac:dyDescent="0.2">
      <c r="A38" s="3" t="s">
        <v>77</v>
      </c>
      <c r="B38" s="11"/>
      <c r="C38" s="11"/>
      <c r="D38" s="11"/>
      <c r="E38" s="12"/>
      <c r="F38" s="4"/>
      <c r="G38" s="4"/>
      <c r="H38" s="5" t="str">
        <f t="shared" si="3"/>
        <v/>
      </c>
      <c r="I38" s="4"/>
      <c r="J38" s="4"/>
      <c r="K38" s="5" t="str">
        <f t="shared" si="4"/>
        <v/>
      </c>
      <c r="L38" s="6">
        <v>0</v>
      </c>
      <c r="M38" s="13">
        <f t="shared" si="2"/>
        <v>0</v>
      </c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7"/>
      <c r="DR38" s="7"/>
      <c r="DS38" s="7"/>
      <c r="DT38" s="7"/>
      <c r="DU38" s="7"/>
      <c r="DV38" s="7"/>
      <c r="DW38" s="7"/>
      <c r="DX38" s="7"/>
      <c r="DY38" s="7"/>
      <c r="DZ38" s="7"/>
      <c r="EA38" s="7"/>
      <c r="EB38" s="7"/>
      <c r="EC38" s="7"/>
      <c r="ED38" s="7"/>
      <c r="EE38" s="7"/>
      <c r="EF38" s="7"/>
      <c r="EG38" s="7"/>
      <c r="EH38" s="7"/>
      <c r="EI38" s="7"/>
    </row>
    <row r="39" spans="1:139" ht="15.75" customHeight="1" x14ac:dyDescent="0.2">
      <c r="A39" s="3" t="s">
        <v>78</v>
      </c>
      <c r="B39" s="11"/>
      <c r="C39" s="11"/>
      <c r="D39" s="11"/>
      <c r="E39" s="12"/>
      <c r="F39" s="4"/>
      <c r="G39" s="4"/>
      <c r="H39" s="5" t="str">
        <f t="shared" si="3"/>
        <v/>
      </c>
      <c r="I39" s="4"/>
      <c r="J39" s="4"/>
      <c r="K39" s="5" t="str">
        <f t="shared" si="4"/>
        <v/>
      </c>
      <c r="L39" s="6">
        <v>0</v>
      </c>
      <c r="M39" s="13">
        <f t="shared" si="2"/>
        <v>0</v>
      </c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D39" s="7"/>
      <c r="DE39" s="7"/>
      <c r="DF39" s="7"/>
      <c r="DG39" s="7"/>
      <c r="DH39" s="7"/>
      <c r="DI39" s="7"/>
      <c r="DJ39" s="7"/>
      <c r="DK39" s="7"/>
      <c r="DL39" s="7"/>
      <c r="DM39" s="7"/>
      <c r="DN39" s="7"/>
      <c r="DO39" s="7"/>
      <c r="DP39" s="7"/>
      <c r="DQ39" s="7"/>
      <c r="DR39" s="7"/>
      <c r="DS39" s="7"/>
      <c r="DT39" s="7"/>
      <c r="DU39" s="7"/>
      <c r="DV39" s="7"/>
      <c r="DW39" s="7"/>
      <c r="DX39" s="7"/>
      <c r="DY39" s="7"/>
      <c r="DZ39" s="7"/>
      <c r="EA39" s="7"/>
      <c r="EB39" s="7"/>
      <c r="EC39" s="7"/>
      <c r="ED39" s="7"/>
      <c r="EE39" s="7"/>
      <c r="EF39" s="7"/>
      <c r="EG39" s="7"/>
      <c r="EH39" s="7"/>
      <c r="EI39" s="7"/>
    </row>
    <row r="40" spans="1:139" ht="15.75" customHeight="1" x14ac:dyDescent="0.2">
      <c r="A40" s="3" t="s">
        <v>79</v>
      </c>
      <c r="B40" s="11"/>
      <c r="C40" s="11"/>
      <c r="D40" s="11"/>
      <c r="E40" s="12"/>
      <c r="F40" s="4"/>
      <c r="G40" s="4"/>
      <c r="H40" s="5" t="str">
        <f t="shared" si="3"/>
        <v/>
      </c>
      <c r="I40" s="4"/>
      <c r="J40" s="4"/>
      <c r="K40" s="5" t="str">
        <f t="shared" si="4"/>
        <v/>
      </c>
      <c r="L40" s="6">
        <v>0</v>
      </c>
      <c r="M40" s="13">
        <f t="shared" si="2"/>
        <v>0</v>
      </c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7"/>
      <c r="DA40" s="7"/>
      <c r="DB40" s="7"/>
      <c r="DC40" s="7"/>
      <c r="DD40" s="7"/>
      <c r="DE40" s="7"/>
      <c r="DF40" s="7"/>
      <c r="DG40" s="7"/>
      <c r="DH40" s="7"/>
      <c r="DI40" s="7"/>
      <c r="DJ40" s="7"/>
      <c r="DK40" s="7"/>
      <c r="DL40" s="7"/>
      <c r="DM40" s="7"/>
      <c r="DN40" s="7"/>
      <c r="DO40" s="7"/>
      <c r="DP40" s="7"/>
      <c r="DQ40" s="7"/>
      <c r="DR40" s="7"/>
      <c r="DS40" s="7"/>
      <c r="DT40" s="7"/>
      <c r="DU40" s="7"/>
      <c r="DV40" s="7"/>
      <c r="DW40" s="7"/>
      <c r="DX40" s="7"/>
      <c r="DY40" s="7"/>
      <c r="DZ40" s="7"/>
      <c r="EA40" s="7"/>
      <c r="EB40" s="7"/>
      <c r="EC40" s="7"/>
      <c r="ED40" s="7"/>
      <c r="EE40" s="7"/>
      <c r="EF40" s="7"/>
      <c r="EG40" s="7"/>
      <c r="EH40" s="7"/>
      <c r="EI40" s="7"/>
    </row>
    <row r="41" spans="1:139" ht="15.75" customHeight="1" x14ac:dyDescent="0.2">
      <c r="A41" s="3" t="s">
        <v>80</v>
      </c>
      <c r="B41" s="11"/>
      <c r="C41" s="11"/>
      <c r="D41" s="11"/>
      <c r="E41" s="12"/>
      <c r="F41" s="4"/>
      <c r="G41" s="4"/>
      <c r="H41" s="5" t="str">
        <f t="shared" si="3"/>
        <v/>
      </c>
      <c r="I41" s="4"/>
      <c r="J41" s="4"/>
      <c r="K41" s="5" t="str">
        <f t="shared" si="4"/>
        <v/>
      </c>
      <c r="L41" s="6">
        <v>0</v>
      </c>
      <c r="M41" s="13">
        <f t="shared" si="2"/>
        <v>0</v>
      </c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  <c r="CZ41" s="7"/>
      <c r="DA41" s="7"/>
      <c r="DB41" s="7"/>
      <c r="DC41" s="7"/>
      <c r="DD41" s="7"/>
      <c r="DE41" s="7"/>
      <c r="DF41" s="7"/>
      <c r="DG41" s="7"/>
      <c r="DH41" s="7"/>
      <c r="DI41" s="7"/>
      <c r="DJ41" s="7"/>
      <c r="DK41" s="7"/>
      <c r="DL41" s="7"/>
      <c r="DM41" s="7"/>
      <c r="DN41" s="7"/>
      <c r="DO41" s="7"/>
      <c r="DP41" s="7"/>
      <c r="DQ41" s="7"/>
      <c r="DR41" s="7"/>
      <c r="DS41" s="7"/>
      <c r="DT41" s="7"/>
      <c r="DU41" s="7"/>
      <c r="DV41" s="7"/>
      <c r="DW41" s="7"/>
      <c r="DX41" s="7"/>
      <c r="DY41" s="7"/>
      <c r="DZ41" s="7"/>
      <c r="EA41" s="7"/>
      <c r="EB41" s="7"/>
      <c r="EC41" s="7"/>
      <c r="ED41" s="7"/>
      <c r="EE41" s="7"/>
      <c r="EF41" s="7"/>
      <c r="EG41" s="7"/>
      <c r="EH41" s="7"/>
      <c r="EI41" s="7"/>
    </row>
    <row r="42" spans="1:139" ht="15.75" customHeight="1" x14ac:dyDescent="0.2">
      <c r="A42" s="3" t="s">
        <v>81</v>
      </c>
      <c r="B42" s="11"/>
      <c r="C42" s="11"/>
      <c r="D42" s="11"/>
      <c r="E42" s="12"/>
      <c r="F42" s="4"/>
      <c r="G42" s="4"/>
      <c r="H42" s="5" t="str">
        <f t="shared" si="3"/>
        <v/>
      </c>
      <c r="I42" s="4"/>
      <c r="J42" s="4"/>
      <c r="K42" s="5" t="str">
        <f t="shared" si="4"/>
        <v/>
      </c>
      <c r="L42" s="6">
        <v>0</v>
      </c>
      <c r="M42" s="13">
        <f t="shared" si="2"/>
        <v>0</v>
      </c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7"/>
      <c r="CS42" s="7"/>
      <c r="CT42" s="7"/>
      <c r="CU42" s="7"/>
      <c r="CV42" s="7"/>
      <c r="CW42" s="7"/>
      <c r="CX42" s="7"/>
      <c r="CY42" s="7"/>
      <c r="CZ42" s="7"/>
      <c r="DA42" s="7"/>
      <c r="DB42" s="7"/>
      <c r="DC42" s="7"/>
      <c r="DD42" s="7"/>
      <c r="DE42" s="7"/>
      <c r="DF42" s="7"/>
      <c r="DG42" s="7"/>
      <c r="DH42" s="7"/>
      <c r="DI42" s="7"/>
      <c r="DJ42" s="7"/>
      <c r="DK42" s="7"/>
      <c r="DL42" s="7"/>
      <c r="DM42" s="7"/>
      <c r="DN42" s="7"/>
      <c r="DO42" s="7"/>
      <c r="DP42" s="7"/>
      <c r="DQ42" s="7"/>
      <c r="DR42" s="7"/>
      <c r="DS42" s="7"/>
      <c r="DT42" s="7"/>
      <c r="DU42" s="7"/>
      <c r="DV42" s="7"/>
      <c r="DW42" s="7"/>
      <c r="DX42" s="7"/>
      <c r="DY42" s="7"/>
      <c r="DZ42" s="7"/>
      <c r="EA42" s="7"/>
      <c r="EB42" s="7"/>
      <c r="EC42" s="7"/>
      <c r="ED42" s="7"/>
      <c r="EE42" s="7"/>
      <c r="EF42" s="7"/>
      <c r="EG42" s="7"/>
      <c r="EH42" s="7"/>
      <c r="EI42" s="7"/>
    </row>
    <row r="43" spans="1:139" ht="15.75" customHeight="1" x14ac:dyDescent="0.2">
      <c r="A43" s="3" t="s">
        <v>82</v>
      </c>
      <c r="B43" s="11"/>
      <c r="C43" s="11"/>
      <c r="D43" s="11"/>
      <c r="E43" s="12"/>
      <c r="F43" s="4"/>
      <c r="G43" s="4"/>
      <c r="H43" s="5" t="str">
        <f t="shared" si="3"/>
        <v/>
      </c>
      <c r="I43" s="4"/>
      <c r="J43" s="4"/>
      <c r="K43" s="5" t="str">
        <f t="shared" si="4"/>
        <v/>
      </c>
      <c r="L43" s="6">
        <v>0</v>
      </c>
      <c r="M43" s="13">
        <f t="shared" si="2"/>
        <v>0</v>
      </c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7"/>
      <c r="CP43" s="7"/>
      <c r="CQ43" s="7"/>
      <c r="CR43" s="7"/>
      <c r="CS43" s="7"/>
      <c r="CT43" s="7"/>
      <c r="CU43" s="7"/>
      <c r="CV43" s="7"/>
      <c r="CW43" s="7"/>
      <c r="CX43" s="7"/>
      <c r="CY43" s="7"/>
      <c r="CZ43" s="7"/>
      <c r="DA43" s="7"/>
      <c r="DB43" s="7"/>
      <c r="DC43" s="7"/>
      <c r="DD43" s="7"/>
      <c r="DE43" s="7"/>
      <c r="DF43" s="7"/>
      <c r="DG43" s="7"/>
      <c r="DH43" s="7"/>
      <c r="DI43" s="7"/>
      <c r="DJ43" s="7"/>
      <c r="DK43" s="7"/>
      <c r="DL43" s="7"/>
      <c r="DM43" s="7"/>
      <c r="DN43" s="7"/>
      <c r="DO43" s="7"/>
      <c r="DP43" s="7"/>
      <c r="DQ43" s="7"/>
      <c r="DR43" s="7"/>
      <c r="DS43" s="7"/>
      <c r="DT43" s="7"/>
      <c r="DU43" s="7"/>
      <c r="DV43" s="7"/>
      <c r="DW43" s="7"/>
      <c r="DX43" s="7"/>
      <c r="DY43" s="7"/>
      <c r="DZ43" s="7"/>
      <c r="EA43" s="7"/>
      <c r="EB43" s="7"/>
      <c r="EC43" s="7"/>
      <c r="ED43" s="7"/>
      <c r="EE43" s="7"/>
      <c r="EF43" s="7"/>
      <c r="EG43" s="7"/>
      <c r="EH43" s="7"/>
      <c r="EI43" s="7"/>
    </row>
    <row r="44" spans="1:139" ht="15.75" customHeight="1" x14ac:dyDescent="0.2">
      <c r="A44" s="3" t="s">
        <v>83</v>
      </c>
      <c r="B44" s="11"/>
      <c r="C44" s="11"/>
      <c r="D44" s="11"/>
      <c r="E44" s="12"/>
      <c r="F44" s="4"/>
      <c r="G44" s="4"/>
      <c r="H44" s="5" t="str">
        <f t="shared" si="3"/>
        <v/>
      </c>
      <c r="I44" s="4"/>
      <c r="J44" s="4"/>
      <c r="K44" s="5" t="str">
        <f t="shared" si="4"/>
        <v/>
      </c>
      <c r="L44" s="6">
        <v>0</v>
      </c>
      <c r="M44" s="13">
        <f t="shared" si="2"/>
        <v>0</v>
      </c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/>
      <c r="CR44" s="7"/>
      <c r="CS44" s="7"/>
      <c r="CT44" s="7"/>
      <c r="CU44" s="7"/>
      <c r="CV44" s="7"/>
      <c r="CW44" s="7"/>
      <c r="CX44" s="7"/>
      <c r="CY44" s="7"/>
      <c r="CZ44" s="7"/>
      <c r="DA44" s="7"/>
      <c r="DB44" s="7"/>
      <c r="DC44" s="7"/>
      <c r="DD44" s="7"/>
      <c r="DE44" s="7"/>
      <c r="DF44" s="7"/>
      <c r="DG44" s="7"/>
      <c r="DH44" s="7"/>
      <c r="DI44" s="7"/>
      <c r="DJ44" s="7"/>
      <c r="DK44" s="7"/>
      <c r="DL44" s="7"/>
      <c r="DM44" s="7"/>
      <c r="DN44" s="7"/>
      <c r="DO44" s="7"/>
      <c r="DP44" s="7"/>
      <c r="DQ44" s="7"/>
      <c r="DR44" s="7"/>
      <c r="DS44" s="7"/>
      <c r="DT44" s="7"/>
      <c r="DU44" s="7"/>
      <c r="DV44" s="7"/>
      <c r="DW44" s="7"/>
      <c r="DX44" s="7"/>
      <c r="DY44" s="7"/>
      <c r="DZ44" s="7"/>
      <c r="EA44" s="7"/>
      <c r="EB44" s="7"/>
      <c r="EC44" s="7"/>
      <c r="ED44" s="7"/>
      <c r="EE44" s="7"/>
      <c r="EF44" s="7"/>
      <c r="EG44" s="7"/>
      <c r="EH44" s="7"/>
      <c r="EI44" s="7"/>
    </row>
    <row r="45" spans="1:139" ht="15.75" customHeight="1" x14ac:dyDescent="0.2">
      <c r="A45" s="3" t="s">
        <v>84</v>
      </c>
      <c r="B45" s="11"/>
      <c r="C45" s="11"/>
      <c r="D45" s="11"/>
      <c r="E45" s="12"/>
      <c r="F45" s="4"/>
      <c r="G45" s="4"/>
      <c r="H45" s="5" t="str">
        <f t="shared" si="3"/>
        <v/>
      </c>
      <c r="I45" s="4"/>
      <c r="J45" s="4"/>
      <c r="K45" s="5" t="str">
        <f t="shared" si="4"/>
        <v/>
      </c>
      <c r="L45" s="6">
        <v>0</v>
      </c>
      <c r="M45" s="13">
        <f t="shared" si="2"/>
        <v>0</v>
      </c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7"/>
      <c r="CV45" s="7"/>
      <c r="CW45" s="7"/>
      <c r="CX45" s="7"/>
      <c r="CY45" s="7"/>
      <c r="CZ45" s="7"/>
      <c r="DA45" s="7"/>
      <c r="DB45" s="7"/>
      <c r="DC45" s="7"/>
      <c r="DD45" s="7"/>
      <c r="DE45" s="7"/>
      <c r="DF45" s="7"/>
      <c r="DG45" s="7"/>
      <c r="DH45" s="7"/>
      <c r="DI45" s="7"/>
      <c r="DJ45" s="7"/>
      <c r="DK45" s="7"/>
      <c r="DL45" s="7"/>
      <c r="DM45" s="7"/>
      <c r="DN45" s="7"/>
      <c r="DO45" s="7"/>
      <c r="DP45" s="7"/>
      <c r="DQ45" s="7"/>
      <c r="DR45" s="7"/>
      <c r="DS45" s="7"/>
      <c r="DT45" s="7"/>
      <c r="DU45" s="7"/>
      <c r="DV45" s="7"/>
      <c r="DW45" s="7"/>
      <c r="DX45" s="7"/>
      <c r="DY45" s="7"/>
      <c r="DZ45" s="7"/>
      <c r="EA45" s="7"/>
      <c r="EB45" s="7"/>
      <c r="EC45" s="7"/>
      <c r="ED45" s="7"/>
      <c r="EE45" s="7"/>
      <c r="EF45" s="7"/>
      <c r="EG45" s="7"/>
      <c r="EH45" s="7"/>
      <c r="EI45" s="7"/>
    </row>
    <row r="46" spans="1:139" ht="15.75" customHeight="1" x14ac:dyDescent="0.2">
      <c r="A46" s="3" t="s">
        <v>85</v>
      </c>
      <c r="B46" s="11"/>
      <c r="C46" s="11"/>
      <c r="D46" s="11"/>
      <c r="E46" s="12"/>
      <c r="F46" s="4"/>
      <c r="G46" s="4"/>
      <c r="H46" s="5" t="str">
        <f t="shared" si="3"/>
        <v/>
      </c>
      <c r="I46" s="4"/>
      <c r="J46" s="4"/>
      <c r="K46" s="5" t="str">
        <f t="shared" si="4"/>
        <v/>
      </c>
      <c r="L46" s="6">
        <v>0</v>
      </c>
      <c r="M46" s="13">
        <f t="shared" si="2"/>
        <v>0</v>
      </c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7"/>
      <c r="DG46" s="7"/>
      <c r="DH46" s="7"/>
      <c r="DI46" s="7"/>
      <c r="DJ46" s="7"/>
      <c r="DK46" s="7"/>
      <c r="DL46" s="7"/>
      <c r="DM46" s="7"/>
      <c r="DN46" s="7"/>
      <c r="DO46" s="7"/>
      <c r="DP46" s="7"/>
      <c r="DQ46" s="7"/>
      <c r="DR46" s="7"/>
      <c r="DS46" s="7"/>
      <c r="DT46" s="7"/>
      <c r="DU46" s="7"/>
      <c r="DV46" s="7"/>
      <c r="DW46" s="7"/>
      <c r="DX46" s="7"/>
      <c r="DY46" s="7"/>
      <c r="DZ46" s="7"/>
      <c r="EA46" s="7"/>
      <c r="EB46" s="7"/>
      <c r="EC46" s="7"/>
      <c r="ED46" s="7"/>
      <c r="EE46" s="7"/>
      <c r="EF46" s="7"/>
      <c r="EG46" s="7"/>
      <c r="EH46" s="7"/>
      <c r="EI46" s="7"/>
    </row>
    <row r="47" spans="1:139" ht="15.75" customHeight="1" x14ac:dyDescent="0.2">
      <c r="A47" s="3" t="s">
        <v>86</v>
      </c>
      <c r="B47" s="11"/>
      <c r="C47" s="11"/>
      <c r="D47" s="11"/>
      <c r="E47" s="12"/>
      <c r="F47" s="4"/>
      <c r="G47" s="4"/>
      <c r="H47" s="5" t="str">
        <f t="shared" si="3"/>
        <v/>
      </c>
      <c r="I47" s="4"/>
      <c r="J47" s="4"/>
      <c r="K47" s="5" t="str">
        <f t="shared" si="4"/>
        <v/>
      </c>
      <c r="L47" s="6">
        <v>0</v>
      </c>
      <c r="M47" s="13">
        <f t="shared" si="2"/>
        <v>0</v>
      </c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  <c r="CZ47" s="7"/>
      <c r="DA47" s="7"/>
      <c r="DB47" s="7"/>
      <c r="DC47" s="7"/>
      <c r="DD47" s="7"/>
      <c r="DE47" s="7"/>
      <c r="DF47" s="7"/>
      <c r="DG47" s="7"/>
      <c r="DH47" s="7"/>
      <c r="DI47" s="7"/>
      <c r="DJ47" s="7"/>
      <c r="DK47" s="7"/>
      <c r="DL47" s="7"/>
      <c r="DM47" s="7"/>
      <c r="DN47" s="7"/>
      <c r="DO47" s="7"/>
      <c r="DP47" s="7"/>
      <c r="DQ47" s="7"/>
      <c r="DR47" s="7"/>
      <c r="DS47" s="7"/>
      <c r="DT47" s="7"/>
      <c r="DU47" s="7"/>
      <c r="DV47" s="7"/>
      <c r="DW47" s="7"/>
      <c r="DX47" s="7"/>
      <c r="DY47" s="7"/>
      <c r="DZ47" s="7"/>
      <c r="EA47" s="7"/>
      <c r="EB47" s="7"/>
      <c r="EC47" s="7"/>
      <c r="ED47" s="7"/>
      <c r="EE47" s="7"/>
      <c r="EF47" s="7"/>
      <c r="EG47" s="7"/>
      <c r="EH47" s="7"/>
      <c r="EI47" s="7"/>
    </row>
    <row r="48" spans="1:139" ht="15.75" customHeight="1" x14ac:dyDescent="0.2">
      <c r="A48" s="3" t="s">
        <v>87</v>
      </c>
      <c r="B48" s="11"/>
      <c r="C48" s="11"/>
      <c r="D48" s="11"/>
      <c r="E48" s="12"/>
      <c r="F48" s="4"/>
      <c r="G48" s="4"/>
      <c r="H48" s="5" t="str">
        <f t="shared" si="3"/>
        <v/>
      </c>
      <c r="I48" s="4"/>
      <c r="J48" s="4"/>
      <c r="K48" s="5" t="str">
        <f t="shared" si="4"/>
        <v/>
      </c>
      <c r="L48" s="6">
        <v>0</v>
      </c>
      <c r="M48" s="13">
        <f t="shared" si="2"/>
        <v>0</v>
      </c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  <c r="CI48" s="7"/>
      <c r="CJ48" s="7"/>
      <c r="CK48" s="7"/>
      <c r="CL48" s="7"/>
      <c r="CM48" s="7"/>
      <c r="CN48" s="7"/>
      <c r="CO48" s="7"/>
      <c r="CP48" s="7"/>
      <c r="CQ48" s="7"/>
      <c r="CR48" s="7"/>
      <c r="CS48" s="7"/>
      <c r="CT48" s="7"/>
      <c r="CU48" s="7"/>
      <c r="CV48" s="7"/>
      <c r="CW48" s="7"/>
      <c r="CX48" s="7"/>
      <c r="CY48" s="7"/>
      <c r="CZ48" s="7"/>
      <c r="DA48" s="7"/>
      <c r="DB48" s="7"/>
      <c r="DC48" s="7"/>
      <c r="DD48" s="7"/>
      <c r="DE48" s="7"/>
      <c r="DF48" s="7"/>
      <c r="DG48" s="7"/>
      <c r="DH48" s="7"/>
      <c r="DI48" s="7"/>
      <c r="DJ48" s="7"/>
      <c r="DK48" s="7"/>
      <c r="DL48" s="7"/>
      <c r="DM48" s="7"/>
      <c r="DN48" s="7"/>
      <c r="DO48" s="7"/>
      <c r="DP48" s="7"/>
      <c r="DQ48" s="7"/>
      <c r="DR48" s="7"/>
      <c r="DS48" s="7"/>
      <c r="DT48" s="7"/>
      <c r="DU48" s="7"/>
      <c r="DV48" s="7"/>
      <c r="DW48" s="7"/>
      <c r="DX48" s="7"/>
      <c r="DY48" s="7"/>
      <c r="DZ48" s="7"/>
      <c r="EA48" s="7"/>
      <c r="EB48" s="7"/>
      <c r="EC48" s="7"/>
      <c r="ED48" s="7"/>
      <c r="EE48" s="7"/>
      <c r="EF48" s="7"/>
      <c r="EG48" s="7"/>
      <c r="EH48" s="7"/>
      <c r="EI48" s="7"/>
    </row>
    <row r="49" spans="1:139" ht="15.75" customHeight="1" x14ac:dyDescent="0.2">
      <c r="A49" s="3" t="s">
        <v>88</v>
      </c>
      <c r="B49" s="11"/>
      <c r="C49" s="11"/>
      <c r="D49" s="11"/>
      <c r="E49" s="12"/>
      <c r="F49" s="4"/>
      <c r="G49" s="4"/>
      <c r="H49" s="5" t="str">
        <f t="shared" si="3"/>
        <v/>
      </c>
      <c r="I49" s="4"/>
      <c r="J49" s="4"/>
      <c r="K49" s="5" t="str">
        <f t="shared" si="4"/>
        <v/>
      </c>
      <c r="L49" s="6">
        <v>0</v>
      </c>
      <c r="M49" s="13">
        <f t="shared" si="2"/>
        <v>0</v>
      </c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7"/>
      <c r="CO49" s="7"/>
      <c r="CP49" s="7"/>
      <c r="CQ49" s="7"/>
      <c r="CR49" s="7"/>
      <c r="CS49" s="7"/>
      <c r="CT49" s="7"/>
      <c r="CU49" s="7"/>
      <c r="CV49" s="7"/>
      <c r="CW49" s="7"/>
      <c r="CX49" s="7"/>
      <c r="CY49" s="7"/>
      <c r="CZ49" s="7"/>
      <c r="DA49" s="7"/>
      <c r="DB49" s="7"/>
      <c r="DC49" s="7"/>
      <c r="DD49" s="7"/>
      <c r="DE49" s="7"/>
      <c r="DF49" s="7"/>
      <c r="DG49" s="7"/>
      <c r="DH49" s="7"/>
      <c r="DI49" s="7"/>
      <c r="DJ49" s="7"/>
      <c r="DK49" s="7"/>
      <c r="DL49" s="7"/>
      <c r="DM49" s="7"/>
      <c r="DN49" s="7"/>
      <c r="DO49" s="7"/>
      <c r="DP49" s="7"/>
      <c r="DQ49" s="7"/>
      <c r="DR49" s="7"/>
      <c r="DS49" s="7"/>
      <c r="DT49" s="7"/>
      <c r="DU49" s="7"/>
      <c r="DV49" s="7"/>
      <c r="DW49" s="7"/>
      <c r="DX49" s="7"/>
      <c r="DY49" s="7"/>
      <c r="DZ49" s="7"/>
      <c r="EA49" s="7"/>
      <c r="EB49" s="7"/>
      <c r="EC49" s="7"/>
      <c r="ED49" s="7"/>
      <c r="EE49" s="7"/>
      <c r="EF49" s="7"/>
      <c r="EG49" s="7"/>
      <c r="EH49" s="7"/>
      <c r="EI49" s="7"/>
    </row>
    <row r="50" spans="1:139" ht="15.75" customHeight="1" x14ac:dyDescent="0.2">
      <c r="A50" s="3" t="s">
        <v>89</v>
      </c>
      <c r="B50" s="11"/>
      <c r="C50" s="11"/>
      <c r="D50" s="11"/>
      <c r="E50" s="12"/>
      <c r="F50" s="4"/>
      <c r="G50" s="4"/>
      <c r="H50" s="5" t="str">
        <f t="shared" si="3"/>
        <v/>
      </c>
      <c r="I50" s="4"/>
      <c r="J50" s="4"/>
      <c r="K50" s="5" t="str">
        <f t="shared" si="4"/>
        <v/>
      </c>
      <c r="L50" s="6">
        <v>0</v>
      </c>
      <c r="M50" s="13">
        <f t="shared" si="2"/>
        <v>0</v>
      </c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  <c r="CP50" s="7"/>
      <c r="CQ50" s="7"/>
      <c r="CR50" s="7"/>
      <c r="CS50" s="7"/>
      <c r="CT50" s="7"/>
      <c r="CU50" s="7"/>
      <c r="CV50" s="7"/>
      <c r="CW50" s="7"/>
      <c r="CX50" s="7"/>
      <c r="CY50" s="7"/>
      <c r="CZ50" s="7"/>
      <c r="DA50" s="7"/>
      <c r="DB50" s="7"/>
      <c r="DC50" s="7"/>
      <c r="DD50" s="7"/>
      <c r="DE50" s="7"/>
      <c r="DF50" s="7"/>
      <c r="DG50" s="7"/>
      <c r="DH50" s="7"/>
      <c r="DI50" s="7"/>
      <c r="DJ50" s="7"/>
      <c r="DK50" s="7"/>
      <c r="DL50" s="7"/>
      <c r="DM50" s="7"/>
      <c r="DN50" s="7"/>
      <c r="DO50" s="7"/>
      <c r="DP50" s="7"/>
      <c r="DQ50" s="7"/>
      <c r="DR50" s="7"/>
      <c r="DS50" s="7"/>
      <c r="DT50" s="7"/>
      <c r="DU50" s="7"/>
      <c r="DV50" s="7"/>
      <c r="DW50" s="7"/>
      <c r="DX50" s="7"/>
      <c r="DY50" s="7"/>
      <c r="DZ50" s="7"/>
      <c r="EA50" s="7"/>
      <c r="EB50" s="7"/>
      <c r="EC50" s="7"/>
      <c r="ED50" s="7"/>
      <c r="EE50" s="7"/>
      <c r="EF50" s="7"/>
      <c r="EG50" s="7"/>
      <c r="EH50" s="7"/>
      <c r="EI50" s="7"/>
    </row>
    <row r="51" spans="1:139" ht="15.75" customHeight="1" x14ac:dyDescent="0.2">
      <c r="A51" s="3" t="s">
        <v>90</v>
      </c>
      <c r="B51" s="11"/>
      <c r="C51" s="11"/>
      <c r="D51" s="11"/>
      <c r="E51" s="12"/>
      <c r="F51" s="4"/>
      <c r="G51" s="4"/>
      <c r="H51" s="5" t="str">
        <f t="shared" si="3"/>
        <v/>
      </c>
      <c r="I51" s="4"/>
      <c r="J51" s="4"/>
      <c r="K51" s="5" t="str">
        <f t="shared" si="4"/>
        <v/>
      </c>
      <c r="L51" s="6">
        <v>0</v>
      </c>
      <c r="M51" s="13">
        <f t="shared" si="2"/>
        <v>0</v>
      </c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  <c r="CP51" s="7"/>
      <c r="CQ51" s="7"/>
      <c r="CR51" s="7"/>
      <c r="CS51" s="7"/>
      <c r="CT51" s="7"/>
      <c r="CU51" s="7"/>
      <c r="CV51" s="7"/>
      <c r="CW51" s="7"/>
      <c r="CX51" s="7"/>
      <c r="CY51" s="7"/>
      <c r="CZ51" s="7"/>
      <c r="DA51" s="7"/>
      <c r="DB51" s="7"/>
      <c r="DC51" s="7"/>
      <c r="DD51" s="7"/>
      <c r="DE51" s="7"/>
      <c r="DF51" s="7"/>
      <c r="DG51" s="7"/>
      <c r="DH51" s="7"/>
      <c r="DI51" s="7"/>
      <c r="DJ51" s="7"/>
      <c r="DK51" s="7"/>
      <c r="DL51" s="7"/>
      <c r="DM51" s="7"/>
      <c r="DN51" s="7"/>
      <c r="DO51" s="7"/>
      <c r="DP51" s="7"/>
      <c r="DQ51" s="7"/>
      <c r="DR51" s="7"/>
      <c r="DS51" s="7"/>
      <c r="DT51" s="7"/>
      <c r="DU51" s="7"/>
      <c r="DV51" s="7"/>
      <c r="DW51" s="7"/>
      <c r="DX51" s="7"/>
      <c r="DY51" s="7"/>
      <c r="DZ51" s="7"/>
      <c r="EA51" s="7"/>
      <c r="EB51" s="7"/>
      <c r="EC51" s="7"/>
      <c r="ED51" s="7"/>
      <c r="EE51" s="7"/>
      <c r="EF51" s="7"/>
      <c r="EG51" s="7"/>
      <c r="EH51" s="7"/>
      <c r="EI51" s="7"/>
    </row>
    <row r="52" spans="1:139" ht="15.75" customHeight="1" x14ac:dyDescent="0.2">
      <c r="A52" s="3" t="s">
        <v>91</v>
      </c>
      <c r="B52" s="11"/>
      <c r="C52" s="11"/>
      <c r="D52" s="11"/>
      <c r="E52" s="12"/>
      <c r="F52" s="4"/>
      <c r="G52" s="4"/>
      <c r="H52" s="5" t="str">
        <f t="shared" si="3"/>
        <v/>
      </c>
      <c r="I52" s="4"/>
      <c r="J52" s="4"/>
      <c r="K52" s="5" t="str">
        <f t="shared" si="4"/>
        <v/>
      </c>
      <c r="L52" s="6">
        <v>0</v>
      </c>
      <c r="M52" s="13">
        <f t="shared" si="2"/>
        <v>0</v>
      </c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/>
      <c r="CR52" s="7"/>
      <c r="CS52" s="7"/>
      <c r="CT52" s="7"/>
      <c r="CU52" s="7"/>
      <c r="CV52" s="7"/>
      <c r="CW52" s="7"/>
      <c r="CX52" s="7"/>
      <c r="CY52" s="7"/>
      <c r="CZ52" s="7"/>
      <c r="DA52" s="7"/>
      <c r="DB52" s="7"/>
      <c r="DC52" s="7"/>
      <c r="DD52" s="7"/>
      <c r="DE52" s="7"/>
      <c r="DF52" s="7"/>
      <c r="DG52" s="7"/>
      <c r="DH52" s="7"/>
      <c r="DI52" s="7"/>
      <c r="DJ52" s="7"/>
      <c r="DK52" s="7"/>
      <c r="DL52" s="7"/>
      <c r="DM52" s="7"/>
      <c r="DN52" s="7"/>
      <c r="DO52" s="7"/>
      <c r="DP52" s="7"/>
      <c r="DQ52" s="7"/>
      <c r="DR52" s="7"/>
      <c r="DS52" s="7"/>
      <c r="DT52" s="7"/>
      <c r="DU52" s="7"/>
      <c r="DV52" s="7"/>
      <c r="DW52" s="7"/>
      <c r="DX52" s="7"/>
      <c r="DY52" s="7"/>
      <c r="DZ52" s="7"/>
      <c r="EA52" s="7"/>
      <c r="EB52" s="7"/>
      <c r="EC52" s="7"/>
      <c r="ED52" s="7"/>
      <c r="EE52" s="7"/>
      <c r="EF52" s="7"/>
      <c r="EG52" s="7"/>
      <c r="EH52" s="7"/>
      <c r="EI52" s="7"/>
    </row>
  </sheetData>
  <mergeCells count="9">
    <mergeCell ref="M1:M2"/>
    <mergeCell ref="F1:H1"/>
    <mergeCell ref="I1:K1"/>
    <mergeCell ref="L1:L2"/>
    <mergeCell ref="A1:A2"/>
    <mergeCell ref="B1:B2"/>
    <mergeCell ref="C1:C2"/>
    <mergeCell ref="D1:D2"/>
    <mergeCell ref="E1:E2"/>
  </mergeCells>
  <conditionalFormatting sqref="N1:EI2">
    <cfRule type="expression" dxfId="3" priority="1">
      <formula>IF(N$1="ВС",1,0)</formula>
    </cfRule>
  </conditionalFormatting>
  <conditionalFormatting sqref="I3:J52">
    <cfRule type="expression" dxfId="2" priority="2">
      <formula>IF(I3&lt;F3,1,0)</formula>
    </cfRule>
  </conditionalFormatting>
  <conditionalFormatting sqref="I3:J52">
    <cfRule type="expression" dxfId="1" priority="3">
      <formula>IF(I3&gt;F3,1,0)</formula>
    </cfRule>
  </conditionalFormatting>
  <conditionalFormatting sqref="N3:EI52">
    <cfRule type="expression" dxfId="0" priority="4">
      <formula>IF(AND($F3&gt;0,$G3&gt;0,N$2&gt;=$F3,N$2&lt;=$G3),1,0)</formula>
    </cfRule>
  </conditionalFormatting>
  <dataValidations count="1">
    <dataValidation type="list" allowBlank="1" showErrorMessage="1" sqref="E3:E52" xr:uid="{00000000-0002-0000-0400-000000000000}">
      <formula1>"1,2,3,4,5,6,7,8,9,10"</formula1>
    </dataValidation>
  </dataValidations>
  <printOptions horizontalCentered="1" gridLines="1"/>
  <pageMargins left="0.7" right="0.7" top="0.75" bottom="0.75" header="0" footer="0"/>
  <pageSetup paperSize="9" fitToHeight="0" pageOrder="overThenDown" orientation="landscape" cellComments="atEnd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400-000001000000}">
          <x14:formula1>
            <xm:f>'Приложение 3. Рабочая группа'!$B$3:$B$101</xm:f>
          </x14:formula1>
          <xm:sqref>C3:D52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  <pageSetUpPr fitToPage="1"/>
  </sheetPr>
  <dimension ref="A1:O42"/>
  <sheetViews>
    <sheetView workbookViewId="0">
      <pane ySplit="1" topLeftCell="A2" activePane="bottomLeft" state="frozen"/>
      <selection pane="bottomLeft" activeCell="I21" sqref="I21"/>
    </sheetView>
  </sheetViews>
  <sheetFormatPr defaultColWidth="12.5703125" defaultRowHeight="15.75" x14ac:dyDescent="0.25"/>
  <cols>
    <col min="1" max="1" width="3.7109375" style="26" customWidth="1"/>
    <col min="2" max="2" width="51.7109375" style="26" customWidth="1"/>
    <col min="3" max="3" width="18.28515625" style="26" customWidth="1"/>
    <col min="4" max="4" width="11.7109375" style="26" customWidth="1"/>
    <col min="5" max="5" width="12.5703125" style="26" customWidth="1"/>
    <col min="6" max="6" width="13.7109375" style="26" customWidth="1"/>
    <col min="7" max="7" width="12.5703125" style="26"/>
    <col min="8" max="8" width="15.28515625" style="26" customWidth="1"/>
    <col min="9" max="9" width="41" style="26" customWidth="1"/>
    <col min="10" max="10" width="23.42578125" style="26" customWidth="1"/>
    <col min="11" max="11" width="9.7109375" style="26" customWidth="1"/>
    <col min="12" max="12" width="58.7109375" style="26" customWidth="1"/>
    <col min="13" max="13" width="12.5703125" style="26" customWidth="1"/>
    <col min="14" max="14" width="4.140625" style="26" customWidth="1"/>
    <col min="15" max="15" width="6.28515625" style="26" customWidth="1"/>
    <col min="16" max="16384" width="12.5703125" style="26"/>
  </cols>
  <sheetData>
    <row r="1" spans="1:15" s="45" customFormat="1" ht="47.25" x14ac:dyDescent="0.2">
      <c r="A1" s="44" t="s">
        <v>23</v>
      </c>
      <c r="B1" s="44" t="s">
        <v>133</v>
      </c>
      <c r="C1" s="44" t="s">
        <v>134</v>
      </c>
      <c r="D1" s="44" t="s">
        <v>135</v>
      </c>
      <c r="E1" s="44" t="s">
        <v>136</v>
      </c>
      <c r="F1" s="44" t="s">
        <v>158</v>
      </c>
      <c r="G1" s="44" t="s">
        <v>137</v>
      </c>
      <c r="H1" s="44" t="s">
        <v>138</v>
      </c>
      <c r="I1" s="44" t="s">
        <v>139</v>
      </c>
      <c r="J1" s="44" t="s">
        <v>179</v>
      </c>
      <c r="K1" s="44" t="s">
        <v>140</v>
      </c>
      <c r="L1" s="70" t="s">
        <v>141</v>
      </c>
      <c r="M1" s="71"/>
      <c r="N1" s="71"/>
      <c r="O1" s="72"/>
    </row>
    <row r="2" spans="1:15" x14ac:dyDescent="0.25">
      <c r="A2" s="27">
        <v>1</v>
      </c>
      <c r="B2" s="28"/>
      <c r="C2" s="28"/>
      <c r="D2" s="27"/>
      <c r="E2" s="29"/>
      <c r="F2" s="27"/>
      <c r="G2" s="30" t="str">
        <f t="shared" ref="G2:G42" si="0">IF(F2*D2=0,"",F2*D2)</f>
        <v/>
      </c>
      <c r="H2" s="28"/>
      <c r="I2" s="31"/>
      <c r="J2" s="28"/>
      <c r="K2" s="32"/>
      <c r="L2" s="33" t="s">
        <v>142</v>
      </c>
      <c r="M2" s="30">
        <f>SUM(G2:G42)</f>
        <v>0</v>
      </c>
      <c r="N2" s="33" t="s">
        <v>143</v>
      </c>
      <c r="O2" s="33"/>
    </row>
    <row r="3" spans="1:15" x14ac:dyDescent="0.25">
      <c r="A3" s="27">
        <v>2</v>
      </c>
      <c r="B3" s="34"/>
      <c r="C3" s="28"/>
      <c r="D3" s="27"/>
      <c r="E3" s="29"/>
      <c r="F3" s="35"/>
      <c r="G3" s="30" t="str">
        <f t="shared" si="0"/>
        <v/>
      </c>
      <c r="H3" s="36"/>
      <c r="I3" s="34"/>
      <c r="J3" s="28"/>
      <c r="K3" s="32"/>
      <c r="L3" s="33" t="s">
        <v>144</v>
      </c>
      <c r="M3" s="30">
        <f>SUMIF(J2:J42,"ЦПД",G2:G42)</f>
        <v>0</v>
      </c>
      <c r="N3" s="33" t="s">
        <v>143</v>
      </c>
      <c r="O3" s="37">
        <f t="shared" ref="O3:O7" si="1">IFERROR(M3/M$2,0)</f>
        <v>0</v>
      </c>
    </row>
    <row r="4" spans="1:15" x14ac:dyDescent="0.25">
      <c r="A4" s="27">
        <v>3</v>
      </c>
      <c r="B4" s="28"/>
      <c r="C4" s="28"/>
      <c r="D4" s="27"/>
      <c r="E4" s="29"/>
      <c r="F4" s="27"/>
      <c r="G4" s="30" t="str">
        <f t="shared" si="0"/>
        <v/>
      </c>
      <c r="H4" s="28"/>
      <c r="I4" s="28"/>
      <c r="J4" s="28"/>
      <c r="K4" s="32"/>
      <c r="L4" s="38" t="s">
        <v>145</v>
      </c>
      <c r="M4" s="30">
        <f>SUMIF(J2:J42,"Иные подразделения вуза",G2:G42)</f>
        <v>0</v>
      </c>
      <c r="N4" s="33" t="s">
        <v>143</v>
      </c>
      <c r="O4" s="37">
        <f t="shared" si="1"/>
        <v>0</v>
      </c>
    </row>
    <row r="5" spans="1:15" x14ac:dyDescent="0.25">
      <c r="A5" s="27">
        <v>4</v>
      </c>
      <c r="B5" s="28"/>
      <c r="C5" s="28"/>
      <c r="D5" s="27"/>
      <c r="E5" s="29"/>
      <c r="F5" s="27"/>
      <c r="G5" s="30" t="str">
        <f t="shared" si="0"/>
        <v/>
      </c>
      <c r="H5" s="28"/>
      <c r="I5" s="28"/>
      <c r="J5" s="28"/>
      <c r="K5" s="39"/>
      <c r="L5" s="33" t="s">
        <v>146</v>
      </c>
      <c r="M5" s="30">
        <f>SUMIF(J2:J42,"Заказчик",G2:G42)</f>
        <v>0</v>
      </c>
      <c r="N5" s="33" t="s">
        <v>143</v>
      </c>
      <c r="O5" s="37">
        <f t="shared" si="1"/>
        <v>0</v>
      </c>
    </row>
    <row r="6" spans="1:15" x14ac:dyDescent="0.25">
      <c r="A6" s="27">
        <v>5</v>
      </c>
      <c r="B6" s="28"/>
      <c r="C6" s="28"/>
      <c r="D6" s="27"/>
      <c r="E6" s="29"/>
      <c r="F6" s="27"/>
      <c r="G6" s="30" t="str">
        <f t="shared" si="0"/>
        <v/>
      </c>
      <c r="H6" s="28"/>
      <c r="I6" s="28"/>
      <c r="J6" s="28"/>
      <c r="K6" s="39"/>
      <c r="L6" s="38" t="s">
        <v>147</v>
      </c>
      <c r="M6" s="30">
        <f>SUMIF(J2:J42,"Партнёр/спонсор",G2:G42)</f>
        <v>0</v>
      </c>
      <c r="N6" s="33" t="s">
        <v>143</v>
      </c>
      <c r="O6" s="37">
        <f t="shared" si="1"/>
        <v>0</v>
      </c>
    </row>
    <row r="7" spans="1:15" x14ac:dyDescent="0.25">
      <c r="A7" s="27">
        <v>6</v>
      </c>
      <c r="B7" s="28"/>
      <c r="C7" s="28"/>
      <c r="D7" s="27"/>
      <c r="E7" s="29"/>
      <c r="F7" s="40"/>
      <c r="G7" s="30" t="str">
        <f t="shared" si="0"/>
        <v/>
      </c>
      <c r="H7" s="41"/>
      <c r="I7" s="28"/>
      <c r="J7" s="28"/>
      <c r="K7" s="39"/>
      <c r="L7" s="42" t="s">
        <v>180</v>
      </c>
      <c r="M7" s="30">
        <f>SUMIF(J2:J42,"Личные средства",G2:G42)</f>
        <v>0</v>
      </c>
      <c r="N7" s="33" t="s">
        <v>143</v>
      </c>
      <c r="O7" s="37">
        <f t="shared" si="1"/>
        <v>0</v>
      </c>
    </row>
    <row r="8" spans="1:15" x14ac:dyDescent="0.25">
      <c r="A8" s="27">
        <v>7</v>
      </c>
      <c r="B8" s="34"/>
      <c r="C8" s="28"/>
      <c r="D8" s="27"/>
      <c r="E8" s="29"/>
      <c r="F8" s="27"/>
      <c r="G8" s="30" t="str">
        <f t="shared" si="0"/>
        <v/>
      </c>
      <c r="H8" s="28"/>
      <c r="I8" s="34"/>
      <c r="J8" s="28"/>
      <c r="K8" s="32"/>
      <c r="L8" s="33"/>
      <c r="M8" s="33"/>
      <c r="N8" s="33"/>
      <c r="O8" s="33"/>
    </row>
    <row r="9" spans="1:15" x14ac:dyDescent="0.25">
      <c r="A9" s="27">
        <v>8</v>
      </c>
      <c r="B9" s="43"/>
      <c r="C9" s="28"/>
      <c r="D9" s="27"/>
      <c r="E9" s="29"/>
      <c r="F9" s="27"/>
      <c r="G9" s="30" t="str">
        <f t="shared" si="0"/>
        <v/>
      </c>
      <c r="H9" s="28"/>
      <c r="I9" s="28"/>
      <c r="J9" s="28"/>
      <c r="K9" s="32"/>
      <c r="L9" s="33"/>
      <c r="M9" s="33"/>
      <c r="N9" s="33"/>
      <c r="O9" s="33"/>
    </row>
    <row r="10" spans="1:15" x14ac:dyDescent="0.25">
      <c r="A10" s="27">
        <v>10</v>
      </c>
      <c r="B10" s="28"/>
      <c r="C10" s="28"/>
      <c r="D10" s="27"/>
      <c r="E10" s="29"/>
      <c r="F10" s="27"/>
      <c r="G10" s="30" t="str">
        <f t="shared" si="0"/>
        <v/>
      </c>
      <c r="H10" s="41"/>
      <c r="I10" s="28"/>
      <c r="J10" s="28"/>
      <c r="K10" s="32"/>
      <c r="L10" s="33"/>
      <c r="M10" s="33"/>
      <c r="N10" s="33"/>
      <c r="O10" s="33"/>
    </row>
    <row r="11" spans="1:15" x14ac:dyDescent="0.25">
      <c r="A11" s="27">
        <v>11</v>
      </c>
      <c r="B11" s="28"/>
      <c r="C11" s="28"/>
      <c r="D11" s="27"/>
      <c r="E11" s="29"/>
      <c r="F11" s="27"/>
      <c r="G11" s="30" t="str">
        <f t="shared" si="0"/>
        <v/>
      </c>
      <c r="H11" s="28"/>
      <c r="I11" s="28"/>
      <c r="J11" s="28"/>
      <c r="K11" s="32"/>
      <c r="L11" s="33"/>
      <c r="M11" s="33"/>
      <c r="N11" s="33"/>
      <c r="O11" s="33"/>
    </row>
    <row r="12" spans="1:15" x14ac:dyDescent="0.25">
      <c r="A12" s="27">
        <v>12</v>
      </c>
      <c r="B12" s="28"/>
      <c r="C12" s="28"/>
      <c r="D12" s="27"/>
      <c r="E12" s="29"/>
      <c r="F12" s="27"/>
      <c r="G12" s="30" t="str">
        <f t="shared" si="0"/>
        <v/>
      </c>
      <c r="H12" s="28"/>
      <c r="I12" s="28"/>
      <c r="J12" s="28"/>
      <c r="K12" s="32"/>
      <c r="L12" s="33"/>
      <c r="M12" s="33"/>
      <c r="N12" s="33"/>
      <c r="O12" s="33"/>
    </row>
    <row r="13" spans="1:15" x14ac:dyDescent="0.25">
      <c r="A13" s="27">
        <v>13</v>
      </c>
      <c r="B13" s="28"/>
      <c r="C13" s="28"/>
      <c r="D13" s="27"/>
      <c r="E13" s="29"/>
      <c r="F13" s="27"/>
      <c r="G13" s="30" t="str">
        <f t="shared" si="0"/>
        <v/>
      </c>
      <c r="H13" s="28"/>
      <c r="I13" s="28"/>
      <c r="J13" s="28"/>
      <c r="K13" s="32"/>
      <c r="L13" s="33"/>
      <c r="M13" s="33"/>
      <c r="N13" s="33"/>
      <c r="O13" s="33"/>
    </row>
    <row r="14" spans="1:15" x14ac:dyDescent="0.25">
      <c r="A14" s="27">
        <v>14</v>
      </c>
      <c r="B14" s="28"/>
      <c r="C14" s="28"/>
      <c r="D14" s="27"/>
      <c r="E14" s="29"/>
      <c r="F14" s="27"/>
      <c r="G14" s="30" t="str">
        <f t="shared" si="0"/>
        <v/>
      </c>
      <c r="H14" s="28"/>
      <c r="I14" s="28"/>
      <c r="J14" s="28"/>
      <c r="K14" s="32"/>
      <c r="L14" s="33"/>
      <c r="M14" s="33"/>
      <c r="N14" s="33"/>
      <c r="O14" s="33"/>
    </row>
    <row r="15" spans="1:15" x14ac:dyDescent="0.25">
      <c r="A15" s="27">
        <v>15</v>
      </c>
      <c r="B15" s="28"/>
      <c r="C15" s="28"/>
      <c r="D15" s="27"/>
      <c r="E15" s="29"/>
      <c r="F15" s="27"/>
      <c r="G15" s="30" t="str">
        <f t="shared" si="0"/>
        <v/>
      </c>
      <c r="H15" s="28"/>
      <c r="I15" s="28"/>
      <c r="J15" s="28"/>
      <c r="K15" s="32"/>
      <c r="L15" s="33"/>
      <c r="M15" s="33"/>
      <c r="N15" s="33"/>
      <c r="O15" s="33"/>
    </row>
    <row r="16" spans="1:15" x14ac:dyDescent="0.25">
      <c r="A16" s="27">
        <v>16</v>
      </c>
      <c r="B16" s="28"/>
      <c r="C16" s="28"/>
      <c r="D16" s="27"/>
      <c r="E16" s="29"/>
      <c r="F16" s="27"/>
      <c r="G16" s="30" t="str">
        <f t="shared" si="0"/>
        <v/>
      </c>
      <c r="H16" s="28"/>
      <c r="I16" s="28"/>
      <c r="J16" s="28"/>
      <c r="K16" s="32"/>
      <c r="L16" s="33"/>
      <c r="M16" s="33"/>
      <c r="N16" s="33"/>
      <c r="O16" s="33"/>
    </row>
    <row r="17" spans="1:15" x14ac:dyDescent="0.25">
      <c r="A17" s="27">
        <v>17</v>
      </c>
      <c r="B17" s="28"/>
      <c r="C17" s="28"/>
      <c r="D17" s="27"/>
      <c r="E17" s="29"/>
      <c r="F17" s="27"/>
      <c r="G17" s="30" t="str">
        <f t="shared" si="0"/>
        <v/>
      </c>
      <c r="H17" s="28"/>
      <c r="I17" s="28"/>
      <c r="J17" s="28"/>
      <c r="K17" s="32"/>
      <c r="L17" s="33"/>
      <c r="M17" s="33"/>
      <c r="N17" s="33"/>
      <c r="O17" s="33"/>
    </row>
    <row r="18" spans="1:15" x14ac:dyDescent="0.25">
      <c r="A18" s="27">
        <v>18</v>
      </c>
      <c r="B18" s="28"/>
      <c r="C18" s="28"/>
      <c r="D18" s="27"/>
      <c r="E18" s="29"/>
      <c r="F18" s="27"/>
      <c r="G18" s="30" t="str">
        <f t="shared" si="0"/>
        <v/>
      </c>
      <c r="H18" s="28"/>
      <c r="I18" s="28"/>
      <c r="J18" s="28"/>
      <c r="K18" s="32"/>
      <c r="L18" s="33"/>
      <c r="M18" s="33"/>
      <c r="N18" s="33"/>
      <c r="O18" s="33"/>
    </row>
    <row r="19" spans="1:15" x14ac:dyDescent="0.25">
      <c r="A19" s="27">
        <v>19</v>
      </c>
      <c r="B19" s="28"/>
      <c r="C19" s="28"/>
      <c r="D19" s="27"/>
      <c r="E19" s="29"/>
      <c r="F19" s="27"/>
      <c r="G19" s="30" t="str">
        <f t="shared" si="0"/>
        <v/>
      </c>
      <c r="H19" s="28"/>
      <c r="I19" s="28"/>
      <c r="J19" s="28"/>
      <c r="K19" s="32"/>
      <c r="L19" s="33"/>
      <c r="M19" s="33"/>
      <c r="N19" s="33"/>
      <c r="O19" s="33"/>
    </row>
    <row r="20" spans="1:15" x14ac:dyDescent="0.25">
      <c r="A20" s="27">
        <v>20</v>
      </c>
      <c r="B20" s="28"/>
      <c r="C20" s="28"/>
      <c r="D20" s="27"/>
      <c r="E20" s="29"/>
      <c r="F20" s="27"/>
      <c r="G20" s="30" t="str">
        <f t="shared" si="0"/>
        <v/>
      </c>
      <c r="H20" s="28"/>
      <c r="I20" s="28"/>
      <c r="J20" s="28"/>
      <c r="K20" s="32"/>
      <c r="L20" s="33"/>
      <c r="M20" s="33"/>
      <c r="N20" s="33"/>
      <c r="O20" s="33"/>
    </row>
    <row r="21" spans="1:15" x14ac:dyDescent="0.25">
      <c r="A21" s="27">
        <v>21</v>
      </c>
      <c r="B21" s="28"/>
      <c r="C21" s="28"/>
      <c r="D21" s="27"/>
      <c r="E21" s="29"/>
      <c r="F21" s="27"/>
      <c r="G21" s="30" t="str">
        <f t="shared" si="0"/>
        <v/>
      </c>
      <c r="H21" s="28"/>
      <c r="I21" s="28"/>
      <c r="J21" s="28"/>
      <c r="K21" s="32"/>
      <c r="L21" s="33"/>
      <c r="M21" s="33"/>
      <c r="N21" s="33"/>
      <c r="O21" s="33"/>
    </row>
    <row r="22" spans="1:15" x14ac:dyDescent="0.25">
      <c r="A22" s="27">
        <v>30</v>
      </c>
      <c r="B22" s="28"/>
      <c r="C22" s="28"/>
      <c r="D22" s="27"/>
      <c r="E22" s="29"/>
      <c r="F22" s="27"/>
      <c r="G22" s="30" t="str">
        <f t="shared" si="0"/>
        <v/>
      </c>
      <c r="H22" s="28"/>
      <c r="I22" s="28"/>
      <c r="J22" s="28"/>
      <c r="K22" s="32"/>
      <c r="L22" s="33"/>
      <c r="M22" s="33"/>
      <c r="N22" s="33"/>
      <c r="O22" s="33"/>
    </row>
    <row r="23" spans="1:15" x14ac:dyDescent="0.25">
      <c r="A23" s="27">
        <v>31</v>
      </c>
      <c r="B23" s="28"/>
      <c r="C23" s="28"/>
      <c r="D23" s="27"/>
      <c r="E23" s="29"/>
      <c r="F23" s="27"/>
      <c r="G23" s="30" t="str">
        <f t="shared" si="0"/>
        <v/>
      </c>
      <c r="H23" s="28"/>
      <c r="I23" s="28"/>
      <c r="J23" s="28"/>
      <c r="K23" s="32"/>
      <c r="L23" s="33"/>
      <c r="M23" s="33"/>
      <c r="N23" s="33"/>
      <c r="O23" s="33"/>
    </row>
    <row r="24" spans="1:15" x14ac:dyDescent="0.25">
      <c r="A24" s="27">
        <v>32</v>
      </c>
      <c r="B24" s="28"/>
      <c r="C24" s="28"/>
      <c r="D24" s="27"/>
      <c r="E24" s="29"/>
      <c r="F24" s="27"/>
      <c r="G24" s="30" t="str">
        <f t="shared" si="0"/>
        <v/>
      </c>
      <c r="H24" s="28"/>
      <c r="I24" s="28"/>
      <c r="J24" s="28"/>
      <c r="K24" s="32"/>
      <c r="L24" s="33"/>
      <c r="M24" s="33"/>
      <c r="N24" s="33"/>
      <c r="O24" s="33"/>
    </row>
    <row r="25" spans="1:15" x14ac:dyDescent="0.25">
      <c r="A25" s="27">
        <v>33</v>
      </c>
      <c r="B25" s="28"/>
      <c r="C25" s="28"/>
      <c r="D25" s="27"/>
      <c r="E25" s="29"/>
      <c r="F25" s="27"/>
      <c r="G25" s="30" t="str">
        <f t="shared" si="0"/>
        <v/>
      </c>
      <c r="H25" s="28"/>
      <c r="I25" s="28"/>
      <c r="J25" s="28"/>
      <c r="K25" s="32"/>
      <c r="L25" s="33"/>
      <c r="M25" s="33"/>
      <c r="N25" s="33"/>
      <c r="O25" s="33"/>
    </row>
    <row r="26" spans="1:15" x14ac:dyDescent="0.25">
      <c r="A26" s="27">
        <v>34</v>
      </c>
      <c r="B26" s="28"/>
      <c r="C26" s="28"/>
      <c r="D26" s="27"/>
      <c r="E26" s="29"/>
      <c r="F26" s="27"/>
      <c r="G26" s="30" t="str">
        <f t="shared" si="0"/>
        <v/>
      </c>
      <c r="H26" s="28"/>
      <c r="I26" s="28"/>
      <c r="J26" s="28"/>
      <c r="K26" s="32"/>
      <c r="L26" s="33"/>
      <c r="M26" s="33"/>
      <c r="N26" s="33"/>
      <c r="O26" s="33"/>
    </row>
    <row r="27" spans="1:15" x14ac:dyDescent="0.25">
      <c r="A27" s="27">
        <v>35</v>
      </c>
      <c r="B27" s="28"/>
      <c r="C27" s="28"/>
      <c r="D27" s="27"/>
      <c r="E27" s="29"/>
      <c r="F27" s="27"/>
      <c r="G27" s="30" t="str">
        <f t="shared" si="0"/>
        <v/>
      </c>
      <c r="H27" s="28"/>
      <c r="I27" s="28"/>
      <c r="J27" s="28"/>
      <c r="K27" s="32"/>
      <c r="L27" s="33"/>
      <c r="M27" s="33"/>
      <c r="N27" s="33"/>
      <c r="O27" s="33"/>
    </row>
    <row r="28" spans="1:15" x14ac:dyDescent="0.25">
      <c r="A28" s="27">
        <v>36</v>
      </c>
      <c r="B28" s="28"/>
      <c r="C28" s="28"/>
      <c r="D28" s="27"/>
      <c r="E28" s="29"/>
      <c r="F28" s="27"/>
      <c r="G28" s="30" t="str">
        <f t="shared" si="0"/>
        <v/>
      </c>
      <c r="H28" s="28"/>
      <c r="I28" s="28"/>
      <c r="J28" s="28"/>
      <c r="K28" s="32"/>
      <c r="L28" s="33"/>
      <c r="M28" s="33"/>
      <c r="N28" s="33"/>
      <c r="O28" s="33"/>
    </row>
    <row r="29" spans="1:15" x14ac:dyDescent="0.25">
      <c r="A29" s="27">
        <v>37</v>
      </c>
      <c r="B29" s="28"/>
      <c r="C29" s="28"/>
      <c r="D29" s="27"/>
      <c r="E29" s="29"/>
      <c r="F29" s="27"/>
      <c r="G29" s="30" t="str">
        <f t="shared" si="0"/>
        <v/>
      </c>
      <c r="H29" s="28"/>
      <c r="I29" s="28"/>
      <c r="J29" s="28"/>
      <c r="K29" s="32"/>
      <c r="L29" s="33"/>
      <c r="M29" s="33"/>
      <c r="N29" s="33"/>
      <c r="O29" s="33"/>
    </row>
    <row r="30" spans="1:15" x14ac:dyDescent="0.25">
      <c r="A30" s="27">
        <v>38</v>
      </c>
      <c r="B30" s="28"/>
      <c r="C30" s="28"/>
      <c r="D30" s="27"/>
      <c r="E30" s="29"/>
      <c r="F30" s="27"/>
      <c r="G30" s="30" t="str">
        <f t="shared" si="0"/>
        <v/>
      </c>
      <c r="H30" s="28"/>
      <c r="I30" s="28"/>
      <c r="J30" s="28"/>
      <c r="K30" s="32"/>
      <c r="L30" s="33"/>
      <c r="M30" s="33"/>
      <c r="N30" s="33"/>
      <c r="O30" s="33"/>
    </row>
    <row r="31" spans="1:15" x14ac:dyDescent="0.25">
      <c r="A31" s="27">
        <v>39</v>
      </c>
      <c r="B31" s="28"/>
      <c r="C31" s="28"/>
      <c r="D31" s="27"/>
      <c r="E31" s="29"/>
      <c r="F31" s="27"/>
      <c r="G31" s="30" t="str">
        <f t="shared" si="0"/>
        <v/>
      </c>
      <c r="H31" s="28"/>
      <c r="I31" s="28"/>
      <c r="J31" s="28"/>
      <c r="K31" s="32"/>
      <c r="L31" s="33"/>
      <c r="M31" s="33"/>
      <c r="N31" s="33"/>
      <c r="O31" s="33"/>
    </row>
    <row r="32" spans="1:15" x14ac:dyDescent="0.25">
      <c r="A32" s="27">
        <v>40</v>
      </c>
      <c r="B32" s="28"/>
      <c r="C32" s="28"/>
      <c r="D32" s="27"/>
      <c r="E32" s="29"/>
      <c r="F32" s="27"/>
      <c r="G32" s="30" t="str">
        <f t="shared" si="0"/>
        <v/>
      </c>
      <c r="H32" s="28"/>
      <c r="I32" s="28"/>
      <c r="J32" s="28"/>
      <c r="K32" s="32"/>
      <c r="L32" s="33"/>
      <c r="M32" s="33"/>
      <c r="N32" s="33"/>
      <c r="O32" s="33"/>
    </row>
    <row r="33" spans="1:15" x14ac:dyDescent="0.25">
      <c r="A33" s="27">
        <v>41</v>
      </c>
      <c r="B33" s="28"/>
      <c r="C33" s="28"/>
      <c r="D33" s="27"/>
      <c r="E33" s="29"/>
      <c r="F33" s="27"/>
      <c r="G33" s="30" t="str">
        <f t="shared" si="0"/>
        <v/>
      </c>
      <c r="H33" s="28"/>
      <c r="I33" s="28"/>
      <c r="J33" s="28"/>
      <c r="K33" s="32"/>
      <c r="L33" s="33"/>
      <c r="M33" s="33"/>
      <c r="N33" s="33"/>
      <c r="O33" s="33"/>
    </row>
    <row r="34" spans="1:15" x14ac:dyDescent="0.25">
      <c r="A34" s="27">
        <v>42</v>
      </c>
      <c r="B34" s="28"/>
      <c r="C34" s="28"/>
      <c r="D34" s="27"/>
      <c r="E34" s="29"/>
      <c r="F34" s="27"/>
      <c r="G34" s="30" t="str">
        <f t="shared" si="0"/>
        <v/>
      </c>
      <c r="H34" s="28"/>
      <c r="I34" s="28"/>
      <c r="J34" s="28"/>
      <c r="K34" s="32"/>
      <c r="L34" s="33"/>
      <c r="M34" s="33"/>
      <c r="N34" s="33"/>
      <c r="O34" s="33"/>
    </row>
    <row r="35" spans="1:15" x14ac:dyDescent="0.25">
      <c r="A35" s="27">
        <v>43</v>
      </c>
      <c r="B35" s="28"/>
      <c r="C35" s="28"/>
      <c r="D35" s="27"/>
      <c r="E35" s="29"/>
      <c r="F35" s="27"/>
      <c r="G35" s="30" t="str">
        <f t="shared" si="0"/>
        <v/>
      </c>
      <c r="H35" s="28"/>
      <c r="I35" s="28"/>
      <c r="J35" s="28"/>
      <c r="K35" s="32"/>
      <c r="L35" s="33"/>
      <c r="M35" s="33"/>
      <c r="N35" s="33"/>
      <c r="O35" s="33"/>
    </row>
    <row r="36" spans="1:15" x14ac:dyDescent="0.25">
      <c r="A36" s="27">
        <v>44</v>
      </c>
      <c r="B36" s="28"/>
      <c r="C36" s="28"/>
      <c r="D36" s="27"/>
      <c r="E36" s="29"/>
      <c r="F36" s="27"/>
      <c r="G36" s="30" t="str">
        <f t="shared" si="0"/>
        <v/>
      </c>
      <c r="H36" s="28"/>
      <c r="I36" s="28"/>
      <c r="J36" s="28"/>
      <c r="K36" s="32"/>
      <c r="L36" s="33"/>
      <c r="M36" s="33"/>
      <c r="N36" s="33"/>
      <c r="O36" s="33"/>
    </row>
    <row r="37" spans="1:15" x14ac:dyDescent="0.25">
      <c r="A37" s="27">
        <v>45</v>
      </c>
      <c r="B37" s="28"/>
      <c r="C37" s="28"/>
      <c r="D37" s="27"/>
      <c r="E37" s="29"/>
      <c r="F37" s="27"/>
      <c r="G37" s="30" t="str">
        <f t="shared" si="0"/>
        <v/>
      </c>
      <c r="H37" s="28"/>
      <c r="I37" s="28"/>
      <c r="J37" s="28"/>
      <c r="K37" s="32"/>
      <c r="L37" s="33"/>
      <c r="M37" s="33"/>
      <c r="N37" s="33"/>
      <c r="O37" s="33"/>
    </row>
    <row r="38" spans="1:15" x14ac:dyDescent="0.25">
      <c r="A38" s="27">
        <v>46</v>
      </c>
      <c r="B38" s="28"/>
      <c r="C38" s="28"/>
      <c r="D38" s="27"/>
      <c r="E38" s="29"/>
      <c r="F38" s="27"/>
      <c r="G38" s="30" t="str">
        <f t="shared" si="0"/>
        <v/>
      </c>
      <c r="H38" s="28"/>
      <c r="I38" s="28"/>
      <c r="J38" s="28"/>
      <c r="K38" s="32"/>
      <c r="L38" s="33"/>
      <c r="M38" s="33"/>
      <c r="N38" s="33"/>
      <c r="O38" s="33"/>
    </row>
    <row r="39" spans="1:15" x14ac:dyDescent="0.25">
      <c r="A39" s="27">
        <v>47</v>
      </c>
      <c r="B39" s="28"/>
      <c r="C39" s="28"/>
      <c r="D39" s="27"/>
      <c r="E39" s="29"/>
      <c r="F39" s="27"/>
      <c r="G39" s="30" t="str">
        <f t="shared" si="0"/>
        <v/>
      </c>
      <c r="H39" s="28"/>
      <c r="I39" s="28"/>
      <c r="J39" s="28"/>
      <c r="K39" s="32"/>
      <c r="L39" s="33"/>
      <c r="M39" s="33"/>
      <c r="N39" s="33"/>
      <c r="O39" s="33"/>
    </row>
    <row r="40" spans="1:15" x14ac:dyDescent="0.25">
      <c r="A40" s="27">
        <v>48</v>
      </c>
      <c r="B40" s="28"/>
      <c r="C40" s="28"/>
      <c r="D40" s="27"/>
      <c r="E40" s="29"/>
      <c r="F40" s="27"/>
      <c r="G40" s="30" t="str">
        <f t="shared" si="0"/>
        <v/>
      </c>
      <c r="H40" s="28"/>
      <c r="I40" s="28"/>
      <c r="J40" s="28"/>
      <c r="K40" s="32"/>
      <c r="L40" s="33"/>
      <c r="M40" s="33"/>
      <c r="N40" s="33"/>
      <c r="O40" s="33"/>
    </row>
    <row r="41" spans="1:15" x14ac:dyDescent="0.25">
      <c r="A41" s="27">
        <v>49</v>
      </c>
      <c r="B41" s="28"/>
      <c r="C41" s="28"/>
      <c r="D41" s="27"/>
      <c r="E41" s="29"/>
      <c r="F41" s="27"/>
      <c r="G41" s="30" t="str">
        <f t="shared" si="0"/>
        <v/>
      </c>
      <c r="H41" s="28"/>
      <c r="I41" s="28"/>
      <c r="J41" s="28"/>
      <c r="K41" s="32"/>
      <c r="L41" s="33"/>
      <c r="M41" s="33"/>
      <c r="N41" s="33"/>
      <c r="O41" s="33"/>
    </row>
    <row r="42" spans="1:15" x14ac:dyDescent="0.25">
      <c r="A42" s="27">
        <v>50</v>
      </c>
      <c r="B42" s="28"/>
      <c r="C42" s="28"/>
      <c r="D42" s="27"/>
      <c r="E42" s="29"/>
      <c r="F42" s="27"/>
      <c r="G42" s="30" t="str">
        <f t="shared" si="0"/>
        <v/>
      </c>
      <c r="H42" s="28"/>
      <c r="I42" s="28"/>
      <c r="J42" s="28"/>
      <c r="K42" s="32"/>
      <c r="L42" s="33"/>
      <c r="M42" s="33"/>
      <c r="N42" s="33"/>
      <c r="O42" s="33"/>
    </row>
  </sheetData>
  <mergeCells count="1">
    <mergeCell ref="L1:O1"/>
  </mergeCells>
  <dataValidations count="1">
    <dataValidation type="list" allowBlank="1" sqref="J2:J42" xr:uid="{00000000-0002-0000-0500-000000000000}">
      <formula1>"ЦПД,Иные подразделения вуза,Заказчик,Партнёр/спонсор,Личные средства"</formula1>
    </dataValidation>
  </dataValidations>
  <printOptions horizontalCentered="1" gridLines="1"/>
  <pageMargins left="0.7" right="0.7" top="0.75" bottom="0.75" header="0" footer="0"/>
  <pageSetup paperSize="9" fitToHeight="0" pageOrder="overThenDown" orientation="landscape" cellComments="atEnd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K100"/>
  <sheetViews>
    <sheetView workbookViewId="0"/>
  </sheetViews>
  <sheetFormatPr defaultColWidth="12.5703125" defaultRowHeight="15" customHeight="1" x14ac:dyDescent="0.2"/>
  <cols>
    <col min="1" max="1" width="84.85546875" style="1" bestFit="1" customWidth="1"/>
    <col min="2" max="11" width="25.140625" style="1" customWidth="1"/>
    <col min="12" max="16384" width="12.5703125" style="1"/>
  </cols>
  <sheetData>
    <row r="1" spans="1:11" ht="15.75" customHeight="1" x14ac:dyDescent="0.2">
      <c r="A1" s="20" t="s">
        <v>92</v>
      </c>
      <c r="B1" s="46">
        <v>1</v>
      </c>
      <c r="C1" s="46">
        <v>2</v>
      </c>
      <c r="D1" s="46">
        <v>3</v>
      </c>
      <c r="E1" s="46">
        <v>4</v>
      </c>
      <c r="F1" s="46">
        <v>5</v>
      </c>
      <c r="G1" s="46">
        <v>6</v>
      </c>
      <c r="H1" s="46">
        <v>7</v>
      </c>
      <c r="I1" s="46">
        <v>8</v>
      </c>
      <c r="J1" s="46">
        <v>9</v>
      </c>
      <c r="K1" s="46">
        <v>10</v>
      </c>
    </row>
    <row r="2" spans="1:11" ht="15.75" customHeight="1" x14ac:dyDescent="0.2">
      <c r="A2" s="21" t="s">
        <v>93</v>
      </c>
      <c r="B2" s="22"/>
      <c r="C2" s="22"/>
      <c r="D2" s="22"/>
      <c r="E2" s="22"/>
      <c r="F2" s="22"/>
      <c r="G2" s="22"/>
      <c r="H2" s="22"/>
      <c r="I2" s="22"/>
      <c r="J2" s="22"/>
      <c r="K2" s="22"/>
    </row>
    <row r="3" spans="1:11" ht="15.75" customHeight="1" x14ac:dyDescent="0.2">
      <c r="A3" s="23" t="s">
        <v>94</v>
      </c>
      <c r="B3" s="24"/>
      <c r="C3" s="24"/>
      <c r="D3" s="24"/>
      <c r="E3" s="24"/>
      <c r="F3" s="24"/>
      <c r="G3" s="24"/>
      <c r="H3" s="24"/>
      <c r="I3" s="24"/>
      <c r="J3" s="24"/>
      <c r="K3" s="24"/>
    </row>
    <row r="4" spans="1:11" ht="15.75" customHeight="1" x14ac:dyDescent="0.2">
      <c r="A4" s="23" t="s">
        <v>95</v>
      </c>
      <c r="B4" s="24"/>
      <c r="C4" s="24"/>
      <c r="D4" s="24"/>
      <c r="E4" s="24"/>
      <c r="F4" s="24"/>
      <c r="G4" s="24"/>
      <c r="H4" s="24"/>
      <c r="I4" s="24"/>
      <c r="J4" s="24"/>
      <c r="K4" s="24"/>
    </row>
    <row r="5" spans="1:11" ht="15.75" customHeight="1" x14ac:dyDescent="0.2">
      <c r="A5" s="23" t="s">
        <v>96</v>
      </c>
      <c r="B5" s="24"/>
      <c r="C5" s="24"/>
      <c r="D5" s="24"/>
      <c r="E5" s="24"/>
      <c r="F5" s="24"/>
      <c r="G5" s="24"/>
      <c r="H5" s="24"/>
      <c r="I5" s="24"/>
      <c r="J5" s="24"/>
      <c r="K5" s="24"/>
    </row>
    <row r="6" spans="1:11" ht="15.75" customHeight="1" x14ac:dyDescent="0.2">
      <c r="A6" s="23" t="s">
        <v>97</v>
      </c>
      <c r="B6" s="24"/>
      <c r="C6" s="24"/>
      <c r="D6" s="24"/>
      <c r="E6" s="24"/>
      <c r="F6" s="24"/>
      <c r="G6" s="24"/>
      <c r="H6" s="24"/>
      <c r="I6" s="24"/>
      <c r="J6" s="24"/>
      <c r="K6" s="24"/>
    </row>
    <row r="7" spans="1:11" ht="15.75" customHeight="1" x14ac:dyDescent="0.2">
      <c r="A7" s="23"/>
      <c r="B7" s="24"/>
      <c r="C7" s="24"/>
      <c r="D7" s="24"/>
      <c r="E7" s="24"/>
      <c r="F7" s="24"/>
      <c r="G7" s="24"/>
      <c r="H7" s="24"/>
      <c r="I7" s="24"/>
      <c r="J7" s="24"/>
      <c r="K7" s="24"/>
    </row>
    <row r="8" spans="1:11" ht="15.75" customHeight="1" x14ac:dyDescent="0.2">
      <c r="A8" s="21" t="s">
        <v>98</v>
      </c>
      <c r="B8" s="22"/>
      <c r="C8" s="22"/>
      <c r="D8" s="22"/>
      <c r="E8" s="22"/>
      <c r="F8" s="22"/>
      <c r="G8" s="22"/>
      <c r="H8" s="22"/>
      <c r="I8" s="22"/>
      <c r="J8" s="22"/>
      <c r="K8" s="22"/>
    </row>
    <row r="9" spans="1:11" ht="15.75" customHeight="1" x14ac:dyDescent="0.2">
      <c r="A9" s="23" t="s">
        <v>99</v>
      </c>
      <c r="B9" s="24"/>
      <c r="C9" s="24"/>
      <c r="D9" s="24"/>
      <c r="E9" s="24"/>
      <c r="F9" s="24"/>
      <c r="G9" s="24"/>
      <c r="H9" s="24"/>
      <c r="I9" s="24"/>
      <c r="J9" s="24"/>
      <c r="K9" s="24"/>
    </row>
    <row r="10" spans="1:11" ht="15.75" customHeight="1" x14ac:dyDescent="0.2">
      <c r="A10" s="23" t="s">
        <v>100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</row>
    <row r="11" spans="1:11" ht="15.75" customHeight="1" x14ac:dyDescent="0.2">
      <c r="A11" s="23" t="s">
        <v>101</v>
      </c>
      <c r="B11" s="24"/>
      <c r="C11" s="24"/>
      <c r="D11" s="24"/>
      <c r="E11" s="24"/>
      <c r="F11" s="24"/>
      <c r="G11" s="24"/>
      <c r="H11" s="24"/>
      <c r="I11" s="24"/>
      <c r="J11" s="24"/>
      <c r="K11" s="24"/>
    </row>
    <row r="12" spans="1:11" ht="15.75" customHeight="1" x14ac:dyDescent="0.2">
      <c r="A12" s="23" t="s">
        <v>102</v>
      </c>
      <c r="B12" s="24"/>
      <c r="C12" s="24"/>
      <c r="D12" s="24"/>
      <c r="E12" s="24"/>
      <c r="F12" s="24"/>
      <c r="G12" s="24"/>
      <c r="H12" s="24"/>
      <c r="I12" s="24"/>
      <c r="J12" s="24"/>
      <c r="K12" s="24"/>
    </row>
    <row r="13" spans="1:11" ht="15.75" customHeight="1" x14ac:dyDescent="0.2">
      <c r="A13" s="24" t="s">
        <v>103</v>
      </c>
      <c r="B13" s="24"/>
      <c r="C13" s="24"/>
      <c r="D13" s="24"/>
      <c r="E13" s="24"/>
      <c r="F13" s="24"/>
      <c r="G13" s="24"/>
      <c r="H13" s="24"/>
      <c r="I13" s="24"/>
      <c r="J13" s="24"/>
      <c r="K13" s="24"/>
    </row>
    <row r="14" spans="1:11" ht="15.75" customHeight="1" x14ac:dyDescent="0.2">
      <c r="A14" s="23" t="s">
        <v>104</v>
      </c>
      <c r="B14" s="24"/>
      <c r="C14" s="24"/>
      <c r="D14" s="24"/>
      <c r="E14" s="24"/>
      <c r="F14" s="24"/>
      <c r="G14" s="24"/>
      <c r="H14" s="24"/>
      <c r="I14" s="24"/>
      <c r="J14" s="24"/>
      <c r="K14" s="24"/>
    </row>
    <row r="15" spans="1:11" ht="15.75" customHeight="1" x14ac:dyDescent="0.2">
      <c r="A15" s="23" t="s">
        <v>105</v>
      </c>
      <c r="B15" s="24"/>
      <c r="C15" s="24"/>
      <c r="D15" s="24"/>
      <c r="E15" s="24"/>
      <c r="F15" s="24"/>
      <c r="G15" s="24"/>
      <c r="H15" s="24"/>
      <c r="I15" s="24"/>
      <c r="J15" s="24"/>
      <c r="K15" s="24"/>
    </row>
    <row r="16" spans="1:11" ht="15.75" customHeight="1" x14ac:dyDescent="0.2">
      <c r="A16" s="23" t="s">
        <v>106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</row>
    <row r="17" spans="1:11" ht="15.75" customHeight="1" x14ac:dyDescent="0.2">
      <c r="A17" s="23"/>
      <c r="B17" s="24"/>
      <c r="C17" s="24"/>
      <c r="D17" s="24"/>
      <c r="E17" s="24"/>
      <c r="F17" s="24"/>
      <c r="G17" s="24"/>
      <c r="H17" s="24"/>
      <c r="I17" s="24"/>
      <c r="J17" s="24"/>
      <c r="K17" s="24"/>
    </row>
    <row r="18" spans="1:11" ht="15.75" customHeight="1" x14ac:dyDescent="0.2">
      <c r="A18" s="21" t="s">
        <v>107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5.75" customHeight="1" x14ac:dyDescent="0.2">
      <c r="A19" s="23" t="s">
        <v>108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</row>
    <row r="20" spans="1:11" ht="15.75" customHeight="1" x14ac:dyDescent="0.2">
      <c r="A20" s="23" t="s">
        <v>109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</row>
    <row r="21" spans="1:11" ht="15.75" customHeight="1" x14ac:dyDescent="0.2">
      <c r="A21" s="23" t="s">
        <v>110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</row>
    <row r="22" spans="1:11" ht="15.75" customHeight="1" x14ac:dyDescent="0.2">
      <c r="A22" s="23" t="s">
        <v>111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</row>
    <row r="23" spans="1:11" ht="15.75" customHeight="1" x14ac:dyDescent="0.2">
      <c r="A23" s="23" t="s">
        <v>112</v>
      </c>
      <c r="B23" s="24"/>
      <c r="C23" s="24"/>
      <c r="D23" s="24"/>
      <c r="E23" s="24"/>
      <c r="F23" s="24"/>
      <c r="G23" s="24"/>
      <c r="H23" s="24"/>
      <c r="I23" s="24"/>
      <c r="J23" s="24"/>
      <c r="K23" s="24"/>
    </row>
    <row r="24" spans="1:11" ht="15.75" customHeight="1" x14ac:dyDescent="0.2">
      <c r="A24" s="23" t="s">
        <v>113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</row>
    <row r="25" spans="1:11" ht="15.75" customHeight="1" x14ac:dyDescent="0.2">
      <c r="A25" s="23"/>
      <c r="B25" s="24"/>
      <c r="C25" s="24"/>
      <c r="D25" s="24"/>
      <c r="E25" s="24"/>
      <c r="F25" s="24"/>
      <c r="G25" s="24"/>
      <c r="H25" s="24"/>
      <c r="I25" s="24"/>
      <c r="J25" s="24"/>
      <c r="K25" s="24"/>
    </row>
    <row r="26" spans="1:11" ht="15.75" customHeight="1" x14ac:dyDescent="0.2">
      <c r="A26" s="21" t="s">
        <v>114</v>
      </c>
      <c r="B26" s="22"/>
      <c r="C26" s="22"/>
      <c r="D26" s="22"/>
      <c r="E26" s="22"/>
      <c r="F26" s="22"/>
      <c r="G26" s="22"/>
      <c r="H26" s="22"/>
      <c r="I26" s="22"/>
      <c r="J26" s="22"/>
      <c r="K26" s="22"/>
    </row>
    <row r="27" spans="1:11" ht="15.75" customHeight="1" x14ac:dyDescent="0.2">
      <c r="A27" s="23" t="s">
        <v>115</v>
      </c>
      <c r="B27" s="24"/>
      <c r="C27" s="24"/>
      <c r="D27" s="24"/>
      <c r="E27" s="24"/>
      <c r="F27" s="24"/>
      <c r="G27" s="24"/>
      <c r="H27" s="24"/>
      <c r="I27" s="24"/>
      <c r="J27" s="24"/>
      <c r="K27" s="24"/>
    </row>
    <row r="28" spans="1:11" ht="15.75" customHeight="1" x14ac:dyDescent="0.2">
      <c r="A28" s="23" t="s">
        <v>116</v>
      </c>
      <c r="B28" s="24"/>
      <c r="C28" s="24"/>
      <c r="D28" s="24"/>
      <c r="E28" s="24"/>
      <c r="F28" s="24"/>
      <c r="G28" s="24"/>
      <c r="H28" s="24"/>
      <c r="I28" s="24"/>
      <c r="J28" s="24"/>
      <c r="K28" s="24"/>
    </row>
    <row r="29" spans="1:11" ht="15.75" customHeight="1" x14ac:dyDescent="0.2">
      <c r="A29" s="23" t="s">
        <v>117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</row>
    <row r="30" spans="1:11" ht="15.75" customHeight="1" x14ac:dyDescent="0.2">
      <c r="A30" s="23" t="s">
        <v>118</v>
      </c>
      <c r="B30" s="24"/>
      <c r="C30" s="24"/>
      <c r="D30" s="24"/>
      <c r="E30" s="24"/>
      <c r="F30" s="24"/>
      <c r="G30" s="24"/>
      <c r="H30" s="24"/>
      <c r="I30" s="24"/>
      <c r="J30" s="24"/>
      <c r="K30" s="24"/>
    </row>
    <row r="31" spans="1:11" ht="15.75" customHeight="1" x14ac:dyDescent="0.2">
      <c r="A31" s="23" t="s">
        <v>119</v>
      </c>
      <c r="B31" s="24"/>
      <c r="C31" s="24"/>
      <c r="D31" s="24"/>
      <c r="E31" s="24"/>
      <c r="F31" s="24"/>
      <c r="G31" s="24"/>
      <c r="H31" s="24"/>
      <c r="I31" s="24"/>
      <c r="J31" s="24"/>
      <c r="K31" s="24"/>
    </row>
    <row r="32" spans="1:11" ht="15.75" customHeight="1" x14ac:dyDescent="0.2">
      <c r="A32" s="23" t="s">
        <v>120</v>
      </c>
      <c r="B32" s="24"/>
      <c r="C32" s="24"/>
      <c r="D32" s="24"/>
      <c r="E32" s="24"/>
      <c r="F32" s="24"/>
      <c r="G32" s="24"/>
      <c r="H32" s="24"/>
      <c r="I32" s="24"/>
      <c r="J32" s="24"/>
      <c r="K32" s="24"/>
    </row>
    <row r="33" spans="1:11" ht="15.75" customHeight="1" x14ac:dyDescent="0.2">
      <c r="A33" s="24" t="s">
        <v>121</v>
      </c>
      <c r="B33" s="24"/>
      <c r="C33" s="24"/>
      <c r="D33" s="24"/>
      <c r="E33" s="24"/>
      <c r="F33" s="24"/>
      <c r="G33" s="24"/>
      <c r="H33" s="24"/>
      <c r="I33" s="24"/>
      <c r="J33" s="24"/>
      <c r="K33" s="24"/>
    </row>
    <row r="34" spans="1:11" ht="15.75" customHeight="1" x14ac:dyDescent="0.2">
      <c r="A34" s="23"/>
      <c r="B34" s="24"/>
      <c r="C34" s="24"/>
      <c r="D34" s="24"/>
      <c r="E34" s="24"/>
      <c r="F34" s="24"/>
      <c r="G34" s="24"/>
      <c r="H34" s="24"/>
      <c r="I34" s="24"/>
      <c r="J34" s="24"/>
      <c r="K34" s="24"/>
    </row>
    <row r="35" spans="1:11" ht="15.75" customHeight="1" x14ac:dyDescent="0.2">
      <c r="A35" s="21" t="s">
        <v>122</v>
      </c>
      <c r="B35" s="22"/>
      <c r="C35" s="22"/>
      <c r="D35" s="22"/>
      <c r="E35" s="22"/>
      <c r="F35" s="22"/>
      <c r="G35" s="22"/>
      <c r="H35" s="22"/>
      <c r="I35" s="22"/>
      <c r="J35" s="22"/>
      <c r="K35" s="22"/>
    </row>
    <row r="36" spans="1:11" ht="15.75" customHeight="1" x14ac:dyDescent="0.2">
      <c r="A36" s="23" t="s">
        <v>123</v>
      </c>
      <c r="B36" s="24"/>
      <c r="C36" s="24"/>
      <c r="D36" s="24"/>
      <c r="E36" s="24"/>
      <c r="F36" s="24"/>
      <c r="G36" s="24"/>
      <c r="H36" s="24"/>
      <c r="I36" s="24"/>
      <c r="J36" s="24"/>
      <c r="K36" s="24"/>
    </row>
    <row r="37" spans="1:11" ht="15.75" customHeight="1" x14ac:dyDescent="0.2">
      <c r="A37" s="23" t="s">
        <v>124</v>
      </c>
      <c r="B37" s="24"/>
      <c r="C37" s="24"/>
      <c r="D37" s="24"/>
      <c r="E37" s="24"/>
      <c r="F37" s="24"/>
      <c r="G37" s="24"/>
      <c r="H37" s="24"/>
      <c r="I37" s="24"/>
      <c r="J37" s="24"/>
      <c r="K37" s="24"/>
    </row>
    <row r="38" spans="1:11" ht="15.75" customHeight="1" x14ac:dyDescent="0.2">
      <c r="A38" s="23" t="s">
        <v>125</v>
      </c>
      <c r="B38" s="24"/>
      <c r="C38" s="24"/>
      <c r="D38" s="24"/>
      <c r="E38" s="24"/>
      <c r="F38" s="24"/>
      <c r="G38" s="24"/>
      <c r="H38" s="24"/>
      <c r="I38" s="24"/>
      <c r="J38" s="24"/>
      <c r="K38" s="24"/>
    </row>
    <row r="39" spans="1:11" ht="15.75" customHeight="1" x14ac:dyDescent="0.2">
      <c r="A39" s="23" t="s">
        <v>126</v>
      </c>
      <c r="B39" s="24"/>
      <c r="C39" s="24"/>
      <c r="D39" s="24"/>
      <c r="E39" s="24"/>
      <c r="F39" s="24"/>
      <c r="G39" s="24"/>
      <c r="H39" s="24"/>
      <c r="I39" s="24"/>
      <c r="J39" s="24"/>
      <c r="K39" s="24"/>
    </row>
    <row r="40" spans="1:11" ht="15.75" customHeight="1" x14ac:dyDescent="0.2">
      <c r="A40" s="23"/>
      <c r="B40" s="24"/>
      <c r="C40" s="24"/>
      <c r="D40" s="24"/>
      <c r="E40" s="24"/>
      <c r="F40" s="24"/>
      <c r="G40" s="24"/>
      <c r="H40" s="24"/>
      <c r="I40" s="24"/>
      <c r="J40" s="24"/>
      <c r="K40" s="24"/>
    </row>
    <row r="41" spans="1:11" ht="15.75" customHeight="1" x14ac:dyDescent="0.2">
      <c r="A41" s="21" t="s">
        <v>127</v>
      </c>
      <c r="B41" s="22"/>
      <c r="C41" s="22"/>
      <c r="D41" s="22"/>
      <c r="E41" s="22"/>
      <c r="F41" s="22"/>
      <c r="G41" s="22"/>
      <c r="H41" s="22"/>
      <c r="I41" s="22"/>
      <c r="J41" s="22"/>
      <c r="K41" s="22"/>
    </row>
    <row r="42" spans="1:11" ht="15.75" customHeight="1" x14ac:dyDescent="0.2">
      <c r="A42" s="23" t="s">
        <v>128</v>
      </c>
      <c r="B42" s="24"/>
      <c r="C42" s="24"/>
      <c r="D42" s="24"/>
      <c r="E42" s="24"/>
      <c r="F42" s="24"/>
      <c r="G42" s="24"/>
      <c r="H42" s="24"/>
      <c r="I42" s="24"/>
      <c r="J42" s="24"/>
      <c r="K42" s="24"/>
    </row>
    <row r="43" spans="1:11" ht="15.75" customHeight="1" x14ac:dyDescent="0.2">
      <c r="A43" s="23" t="s">
        <v>129</v>
      </c>
      <c r="B43" s="24"/>
      <c r="C43" s="24"/>
      <c r="D43" s="24"/>
      <c r="E43" s="24"/>
      <c r="F43" s="24"/>
      <c r="G43" s="24"/>
      <c r="H43" s="24"/>
      <c r="I43" s="24"/>
      <c r="J43" s="24"/>
      <c r="K43" s="24"/>
    </row>
    <row r="44" spans="1:11" ht="15.75" customHeight="1" x14ac:dyDescent="0.2">
      <c r="A44" s="23" t="s">
        <v>130</v>
      </c>
      <c r="B44" s="24"/>
      <c r="C44" s="24"/>
      <c r="D44" s="24"/>
      <c r="E44" s="24"/>
      <c r="F44" s="24"/>
      <c r="G44" s="24"/>
      <c r="H44" s="24"/>
      <c r="I44" s="24"/>
      <c r="J44" s="24"/>
      <c r="K44" s="24"/>
    </row>
    <row r="45" spans="1:11" ht="15.75" customHeight="1" x14ac:dyDescent="0.2">
      <c r="A45" s="23" t="s">
        <v>131</v>
      </c>
      <c r="B45" s="24"/>
      <c r="C45" s="24"/>
      <c r="D45" s="24"/>
      <c r="E45" s="24"/>
      <c r="F45" s="24"/>
      <c r="G45" s="24"/>
      <c r="H45" s="24"/>
      <c r="I45" s="24"/>
      <c r="J45" s="24"/>
      <c r="K45" s="24"/>
    </row>
    <row r="46" spans="1:11" ht="15.75" customHeight="1" x14ac:dyDescent="0.2">
      <c r="A46" s="23"/>
      <c r="B46" s="24"/>
      <c r="C46" s="24"/>
      <c r="D46" s="24"/>
      <c r="E46" s="24"/>
      <c r="F46" s="24"/>
      <c r="G46" s="24"/>
      <c r="H46" s="24"/>
      <c r="I46" s="24"/>
      <c r="J46" s="24"/>
      <c r="K46" s="24"/>
    </row>
    <row r="47" spans="1:11" ht="15.75" customHeight="1" x14ac:dyDescent="0.2">
      <c r="A47" s="21" t="s">
        <v>132</v>
      </c>
      <c r="B47" s="22"/>
      <c r="C47" s="22"/>
      <c r="D47" s="22"/>
      <c r="E47" s="22"/>
      <c r="F47" s="22"/>
      <c r="G47" s="22"/>
      <c r="H47" s="22"/>
      <c r="I47" s="22"/>
      <c r="J47" s="22"/>
      <c r="K47" s="22"/>
    </row>
    <row r="48" spans="1:11" ht="15.75" customHeight="1" x14ac:dyDescent="0.2">
      <c r="A48" s="23"/>
      <c r="B48" s="24"/>
      <c r="C48" s="24"/>
      <c r="D48" s="24"/>
      <c r="E48" s="24"/>
      <c r="F48" s="24"/>
      <c r="G48" s="24"/>
      <c r="H48" s="24"/>
      <c r="I48" s="24"/>
      <c r="J48" s="24"/>
      <c r="K48" s="24"/>
    </row>
    <row r="49" spans="1:11" ht="15.75" customHeight="1" x14ac:dyDescent="0.2">
      <c r="A49" s="23"/>
      <c r="B49" s="24"/>
      <c r="C49" s="24"/>
      <c r="D49" s="24"/>
      <c r="E49" s="24"/>
      <c r="F49" s="24"/>
      <c r="G49" s="24"/>
      <c r="H49" s="24"/>
      <c r="I49" s="24"/>
      <c r="J49" s="24"/>
      <c r="K49" s="24"/>
    </row>
    <row r="50" spans="1:11" ht="15.75" customHeight="1" x14ac:dyDescent="0.2">
      <c r="A50" s="23"/>
      <c r="B50" s="24"/>
      <c r="C50" s="24"/>
      <c r="D50" s="24"/>
      <c r="E50" s="24"/>
      <c r="F50" s="24"/>
      <c r="G50" s="24"/>
      <c r="H50" s="24"/>
      <c r="I50" s="24"/>
      <c r="J50" s="24"/>
      <c r="K50" s="24"/>
    </row>
    <row r="51" spans="1:11" ht="15.75" customHeight="1" x14ac:dyDescent="0.2">
      <c r="A51" s="23"/>
      <c r="B51" s="24"/>
      <c r="C51" s="24"/>
      <c r="D51" s="24"/>
      <c r="E51" s="24"/>
      <c r="F51" s="24"/>
      <c r="G51" s="24"/>
      <c r="H51" s="24"/>
      <c r="I51" s="24"/>
      <c r="J51" s="24"/>
      <c r="K51" s="24"/>
    </row>
    <row r="52" spans="1:11" ht="15.75" customHeight="1" x14ac:dyDescent="0.2">
      <c r="A52" s="23"/>
      <c r="B52" s="24"/>
      <c r="C52" s="24"/>
      <c r="D52" s="24"/>
      <c r="E52" s="24"/>
      <c r="F52" s="24"/>
      <c r="G52" s="24"/>
      <c r="H52" s="24"/>
      <c r="I52" s="24"/>
      <c r="J52" s="24"/>
      <c r="K52" s="24"/>
    </row>
    <row r="53" spans="1:11" ht="15.75" customHeight="1" x14ac:dyDescent="0.2">
      <c r="A53" s="23"/>
      <c r="B53" s="24"/>
      <c r="C53" s="24"/>
      <c r="D53" s="24"/>
      <c r="E53" s="24"/>
      <c r="F53" s="24"/>
      <c r="G53" s="24"/>
      <c r="H53" s="24"/>
      <c r="I53" s="24"/>
      <c r="J53" s="24"/>
      <c r="K53" s="24"/>
    </row>
    <row r="54" spans="1:11" ht="15.75" customHeight="1" x14ac:dyDescent="0.2">
      <c r="A54" s="23"/>
      <c r="B54" s="24"/>
      <c r="C54" s="24"/>
      <c r="D54" s="24"/>
      <c r="E54" s="24"/>
      <c r="F54" s="24"/>
      <c r="G54" s="24"/>
      <c r="H54" s="24"/>
      <c r="I54" s="24"/>
      <c r="J54" s="24"/>
      <c r="K54" s="24"/>
    </row>
    <row r="55" spans="1:11" ht="15.75" customHeight="1" x14ac:dyDescent="0.2">
      <c r="A55" s="23"/>
      <c r="B55" s="24"/>
      <c r="C55" s="24"/>
      <c r="D55" s="24"/>
      <c r="E55" s="24"/>
      <c r="F55" s="24"/>
      <c r="G55" s="24"/>
      <c r="H55" s="24"/>
      <c r="I55" s="24"/>
      <c r="J55" s="24"/>
      <c r="K55" s="24"/>
    </row>
    <row r="56" spans="1:11" ht="15.75" customHeight="1" x14ac:dyDescent="0.2">
      <c r="A56" s="23"/>
      <c r="B56" s="24"/>
      <c r="C56" s="24"/>
      <c r="D56" s="24"/>
      <c r="E56" s="24"/>
      <c r="F56" s="24"/>
      <c r="G56" s="24"/>
      <c r="H56" s="24"/>
      <c r="I56" s="24"/>
      <c r="J56" s="24"/>
      <c r="K56" s="24"/>
    </row>
    <row r="57" spans="1:11" ht="15.75" customHeight="1" x14ac:dyDescent="0.2">
      <c r="A57" s="23"/>
      <c r="B57" s="24"/>
      <c r="C57" s="24"/>
      <c r="D57" s="24"/>
      <c r="E57" s="24"/>
      <c r="F57" s="24"/>
      <c r="G57" s="24"/>
      <c r="H57" s="24"/>
      <c r="I57" s="24"/>
      <c r="J57" s="24"/>
      <c r="K57" s="24"/>
    </row>
    <row r="58" spans="1:11" ht="15.75" customHeight="1" x14ac:dyDescent="0.2">
      <c r="A58" s="23"/>
      <c r="B58" s="24"/>
      <c r="C58" s="24"/>
      <c r="D58" s="24"/>
      <c r="E58" s="24"/>
      <c r="F58" s="24"/>
      <c r="G58" s="24"/>
      <c r="H58" s="24"/>
      <c r="I58" s="24"/>
      <c r="J58" s="24"/>
      <c r="K58" s="24"/>
    </row>
    <row r="59" spans="1:11" ht="15.75" customHeight="1" x14ac:dyDescent="0.2">
      <c r="A59" s="23"/>
      <c r="B59" s="24"/>
      <c r="C59" s="24"/>
      <c r="D59" s="24"/>
      <c r="E59" s="24"/>
      <c r="F59" s="24"/>
      <c r="G59" s="24"/>
      <c r="H59" s="24"/>
      <c r="I59" s="24"/>
      <c r="J59" s="24"/>
      <c r="K59" s="24"/>
    </row>
    <row r="60" spans="1:11" ht="15.75" customHeight="1" x14ac:dyDescent="0.2">
      <c r="A60" s="23"/>
      <c r="B60" s="24"/>
      <c r="C60" s="24"/>
      <c r="D60" s="24"/>
      <c r="E60" s="24"/>
      <c r="F60" s="24"/>
      <c r="G60" s="24"/>
      <c r="H60" s="24"/>
      <c r="I60" s="24"/>
      <c r="J60" s="24"/>
      <c r="K60" s="24"/>
    </row>
    <row r="61" spans="1:11" ht="15.75" customHeight="1" x14ac:dyDescent="0.2">
      <c r="A61" s="23"/>
      <c r="B61" s="24"/>
      <c r="C61" s="24"/>
      <c r="D61" s="24"/>
      <c r="E61" s="24"/>
      <c r="F61" s="24"/>
      <c r="G61" s="24"/>
      <c r="H61" s="24"/>
      <c r="I61" s="24"/>
      <c r="J61" s="24"/>
      <c r="K61" s="24"/>
    </row>
    <row r="62" spans="1:11" ht="15.75" customHeight="1" x14ac:dyDescent="0.2">
      <c r="A62" s="23"/>
      <c r="B62" s="24"/>
      <c r="C62" s="24"/>
      <c r="D62" s="24"/>
      <c r="E62" s="24"/>
      <c r="F62" s="24"/>
      <c r="G62" s="24"/>
      <c r="H62" s="24"/>
      <c r="I62" s="24"/>
      <c r="J62" s="24"/>
      <c r="K62" s="24"/>
    </row>
    <row r="63" spans="1:11" ht="15.75" customHeight="1" x14ac:dyDescent="0.2">
      <c r="A63" s="23"/>
      <c r="B63" s="24"/>
      <c r="C63" s="24"/>
      <c r="D63" s="24"/>
      <c r="E63" s="24"/>
      <c r="F63" s="24"/>
      <c r="G63" s="24"/>
      <c r="H63" s="24"/>
      <c r="I63" s="24"/>
      <c r="J63" s="24"/>
      <c r="K63" s="24"/>
    </row>
    <row r="64" spans="1:11" ht="15.75" customHeight="1" x14ac:dyDescent="0.2">
      <c r="A64" s="23"/>
      <c r="B64" s="24"/>
      <c r="C64" s="24"/>
      <c r="D64" s="24"/>
      <c r="E64" s="24"/>
      <c r="F64" s="24"/>
      <c r="G64" s="24"/>
      <c r="H64" s="24"/>
      <c r="I64" s="24"/>
      <c r="J64" s="24"/>
      <c r="K64" s="24"/>
    </row>
    <row r="65" spans="1:11" ht="15.75" customHeight="1" x14ac:dyDescent="0.2">
      <c r="A65" s="23"/>
      <c r="B65" s="24"/>
      <c r="C65" s="24"/>
      <c r="D65" s="24"/>
      <c r="E65" s="24"/>
      <c r="F65" s="24"/>
      <c r="G65" s="24"/>
      <c r="H65" s="24"/>
      <c r="I65" s="24"/>
      <c r="J65" s="24"/>
      <c r="K65" s="24"/>
    </row>
    <row r="66" spans="1:11" ht="15.75" customHeight="1" x14ac:dyDescent="0.2">
      <c r="A66" s="23"/>
      <c r="B66" s="24"/>
      <c r="C66" s="24"/>
      <c r="D66" s="24"/>
      <c r="E66" s="24"/>
      <c r="F66" s="24"/>
      <c r="G66" s="24"/>
      <c r="H66" s="24"/>
      <c r="I66" s="24"/>
      <c r="J66" s="24"/>
      <c r="K66" s="24"/>
    </row>
    <row r="67" spans="1:11" ht="15.75" customHeight="1" x14ac:dyDescent="0.2">
      <c r="A67" s="23"/>
      <c r="B67" s="24"/>
      <c r="C67" s="24"/>
      <c r="D67" s="24"/>
      <c r="E67" s="24"/>
      <c r="F67" s="24"/>
      <c r="G67" s="24"/>
      <c r="H67" s="24"/>
      <c r="I67" s="24"/>
      <c r="J67" s="24"/>
      <c r="K67" s="24"/>
    </row>
    <row r="68" spans="1:11" ht="15.75" customHeight="1" x14ac:dyDescent="0.2">
      <c r="A68" s="23"/>
      <c r="B68" s="24"/>
      <c r="C68" s="24"/>
      <c r="D68" s="24"/>
      <c r="E68" s="24"/>
      <c r="F68" s="24"/>
      <c r="G68" s="24"/>
      <c r="H68" s="24"/>
      <c r="I68" s="24"/>
      <c r="J68" s="24"/>
      <c r="K68" s="24"/>
    </row>
    <row r="69" spans="1:11" ht="15.75" customHeight="1" x14ac:dyDescent="0.2">
      <c r="A69" s="23"/>
      <c r="B69" s="24"/>
      <c r="C69" s="24"/>
      <c r="D69" s="24"/>
      <c r="E69" s="24"/>
      <c r="F69" s="24"/>
      <c r="G69" s="24"/>
      <c r="H69" s="24"/>
      <c r="I69" s="24"/>
      <c r="J69" s="24"/>
      <c r="K69" s="24"/>
    </row>
    <row r="70" spans="1:11" ht="15.75" customHeight="1" x14ac:dyDescent="0.2">
      <c r="A70" s="23"/>
      <c r="B70" s="24"/>
      <c r="C70" s="24"/>
      <c r="D70" s="24"/>
      <c r="E70" s="24"/>
      <c r="F70" s="24"/>
      <c r="G70" s="24"/>
      <c r="H70" s="24"/>
      <c r="I70" s="24"/>
      <c r="J70" s="24"/>
      <c r="K70" s="24"/>
    </row>
    <row r="71" spans="1:11" ht="15.75" customHeight="1" x14ac:dyDescent="0.2">
      <c r="A71" s="23"/>
      <c r="B71" s="24"/>
      <c r="C71" s="24"/>
      <c r="D71" s="24"/>
      <c r="E71" s="24"/>
      <c r="F71" s="24"/>
      <c r="G71" s="24"/>
      <c r="H71" s="24"/>
      <c r="I71" s="24"/>
      <c r="J71" s="24"/>
      <c r="K71" s="24"/>
    </row>
    <row r="72" spans="1:11" ht="15.75" customHeight="1" x14ac:dyDescent="0.2">
      <c r="A72" s="23"/>
      <c r="B72" s="24"/>
      <c r="C72" s="24"/>
      <c r="D72" s="24"/>
      <c r="E72" s="24"/>
      <c r="F72" s="24"/>
      <c r="G72" s="24"/>
      <c r="H72" s="24"/>
      <c r="I72" s="24"/>
      <c r="J72" s="24"/>
      <c r="K72" s="24"/>
    </row>
    <row r="73" spans="1:11" ht="15.75" customHeight="1" x14ac:dyDescent="0.2">
      <c r="A73" s="23"/>
      <c r="B73" s="24"/>
      <c r="C73" s="24"/>
      <c r="D73" s="24"/>
      <c r="E73" s="24"/>
      <c r="F73" s="24"/>
      <c r="G73" s="24"/>
      <c r="H73" s="24"/>
      <c r="I73" s="24"/>
      <c r="J73" s="24"/>
      <c r="K73" s="24"/>
    </row>
    <row r="74" spans="1:11" ht="15.75" customHeight="1" x14ac:dyDescent="0.2">
      <c r="A74" s="23"/>
      <c r="B74" s="24"/>
      <c r="C74" s="24"/>
      <c r="D74" s="24"/>
      <c r="E74" s="24"/>
      <c r="F74" s="24"/>
      <c r="G74" s="24"/>
      <c r="H74" s="24"/>
      <c r="I74" s="24"/>
      <c r="J74" s="24"/>
      <c r="K74" s="24"/>
    </row>
    <row r="75" spans="1:11" ht="15.75" customHeight="1" x14ac:dyDescent="0.2">
      <c r="A75" s="23"/>
      <c r="B75" s="24"/>
      <c r="C75" s="24"/>
      <c r="D75" s="24"/>
      <c r="E75" s="24"/>
      <c r="F75" s="24"/>
      <c r="G75" s="24"/>
      <c r="H75" s="24"/>
      <c r="I75" s="24"/>
      <c r="J75" s="24"/>
      <c r="K75" s="24"/>
    </row>
    <row r="76" spans="1:11" ht="15.75" customHeight="1" x14ac:dyDescent="0.2">
      <c r="A76" s="23"/>
      <c r="B76" s="24"/>
      <c r="C76" s="24"/>
      <c r="D76" s="24"/>
      <c r="E76" s="24"/>
      <c r="F76" s="24"/>
      <c r="G76" s="24"/>
      <c r="H76" s="24"/>
      <c r="I76" s="24"/>
      <c r="J76" s="24"/>
      <c r="K76" s="24"/>
    </row>
    <row r="77" spans="1:11" ht="15.75" customHeight="1" x14ac:dyDescent="0.2">
      <c r="A77" s="23"/>
      <c r="B77" s="24"/>
      <c r="C77" s="24"/>
      <c r="D77" s="24"/>
      <c r="E77" s="24"/>
      <c r="F77" s="24"/>
      <c r="G77" s="24"/>
      <c r="H77" s="24"/>
      <c r="I77" s="24"/>
      <c r="J77" s="24"/>
      <c r="K77" s="24"/>
    </row>
    <row r="78" spans="1:11" ht="15.75" customHeight="1" x14ac:dyDescent="0.2">
      <c r="A78" s="23"/>
      <c r="B78" s="24"/>
      <c r="C78" s="24"/>
      <c r="D78" s="24"/>
      <c r="E78" s="24"/>
      <c r="F78" s="24"/>
      <c r="G78" s="24"/>
      <c r="H78" s="24"/>
      <c r="I78" s="24"/>
      <c r="J78" s="24"/>
      <c r="K78" s="24"/>
    </row>
    <row r="79" spans="1:11" ht="15.75" customHeight="1" x14ac:dyDescent="0.2">
      <c r="A79" s="23"/>
      <c r="B79" s="24"/>
      <c r="C79" s="24"/>
      <c r="D79" s="24"/>
      <c r="E79" s="24"/>
      <c r="F79" s="24"/>
      <c r="G79" s="24"/>
      <c r="H79" s="24"/>
      <c r="I79" s="24"/>
      <c r="J79" s="24"/>
      <c r="K79" s="24"/>
    </row>
    <row r="80" spans="1:11" ht="15.75" customHeight="1" x14ac:dyDescent="0.2">
      <c r="A80" s="23"/>
      <c r="B80" s="24"/>
      <c r="C80" s="24"/>
      <c r="D80" s="24"/>
      <c r="E80" s="24"/>
      <c r="F80" s="24"/>
      <c r="G80" s="24"/>
      <c r="H80" s="24"/>
      <c r="I80" s="24"/>
      <c r="J80" s="24"/>
      <c r="K80" s="24"/>
    </row>
    <row r="81" spans="1:11" ht="15.75" customHeight="1" x14ac:dyDescent="0.2">
      <c r="A81" s="23"/>
      <c r="B81" s="24"/>
      <c r="C81" s="24"/>
      <c r="D81" s="24"/>
      <c r="E81" s="24"/>
      <c r="F81" s="24"/>
      <c r="G81" s="24"/>
      <c r="H81" s="24"/>
      <c r="I81" s="24"/>
      <c r="J81" s="24"/>
      <c r="K81" s="24"/>
    </row>
    <row r="82" spans="1:11" ht="15.75" customHeight="1" x14ac:dyDescent="0.2">
      <c r="A82" s="23"/>
      <c r="B82" s="24"/>
      <c r="C82" s="24"/>
      <c r="D82" s="24"/>
      <c r="E82" s="24"/>
      <c r="F82" s="24"/>
      <c r="G82" s="24"/>
      <c r="H82" s="24"/>
      <c r="I82" s="24"/>
      <c r="J82" s="24"/>
      <c r="K82" s="24"/>
    </row>
    <row r="83" spans="1:11" ht="15.75" customHeight="1" x14ac:dyDescent="0.2">
      <c r="A83" s="23"/>
      <c r="B83" s="24"/>
      <c r="C83" s="24"/>
      <c r="D83" s="24"/>
      <c r="E83" s="24"/>
      <c r="F83" s="24"/>
      <c r="G83" s="24"/>
      <c r="H83" s="24"/>
      <c r="I83" s="24"/>
      <c r="J83" s="24"/>
      <c r="K83" s="24"/>
    </row>
    <row r="84" spans="1:11" ht="15.75" customHeight="1" x14ac:dyDescent="0.2">
      <c r="A84" s="23"/>
      <c r="B84" s="24"/>
      <c r="C84" s="24"/>
      <c r="D84" s="24"/>
      <c r="E84" s="24"/>
      <c r="F84" s="24"/>
      <c r="G84" s="24"/>
      <c r="H84" s="24"/>
      <c r="I84" s="24"/>
      <c r="J84" s="24"/>
      <c r="K84" s="24"/>
    </row>
    <row r="85" spans="1:11" ht="15.75" customHeight="1" x14ac:dyDescent="0.2">
      <c r="A85" s="23"/>
      <c r="B85" s="24"/>
      <c r="C85" s="24"/>
      <c r="D85" s="24"/>
      <c r="E85" s="24"/>
      <c r="F85" s="24"/>
      <c r="G85" s="24"/>
      <c r="H85" s="24"/>
      <c r="I85" s="24"/>
      <c r="J85" s="24"/>
      <c r="K85" s="24"/>
    </row>
    <row r="86" spans="1:11" ht="15.75" customHeight="1" x14ac:dyDescent="0.2">
      <c r="A86" s="23"/>
      <c r="B86" s="24"/>
      <c r="C86" s="24"/>
      <c r="D86" s="24"/>
      <c r="E86" s="24"/>
      <c r="F86" s="24"/>
      <c r="G86" s="24"/>
      <c r="H86" s="24"/>
      <c r="I86" s="24"/>
      <c r="J86" s="24"/>
      <c r="K86" s="24"/>
    </row>
    <row r="87" spans="1:11" ht="15.75" customHeight="1" x14ac:dyDescent="0.2">
      <c r="A87" s="23"/>
      <c r="B87" s="24"/>
      <c r="C87" s="24"/>
      <c r="D87" s="24"/>
      <c r="E87" s="24"/>
      <c r="F87" s="24"/>
      <c r="G87" s="24"/>
      <c r="H87" s="24"/>
      <c r="I87" s="24"/>
      <c r="J87" s="24"/>
      <c r="K87" s="24"/>
    </row>
    <row r="88" spans="1:11" ht="15.75" customHeight="1" x14ac:dyDescent="0.2">
      <c r="A88" s="23"/>
      <c r="B88" s="24"/>
      <c r="C88" s="24"/>
      <c r="D88" s="24"/>
      <c r="E88" s="24"/>
      <c r="F88" s="24"/>
      <c r="G88" s="24"/>
      <c r="H88" s="24"/>
      <c r="I88" s="24"/>
      <c r="J88" s="24"/>
      <c r="K88" s="24"/>
    </row>
    <row r="89" spans="1:11" ht="15.75" customHeight="1" x14ac:dyDescent="0.2">
      <c r="A89" s="23"/>
      <c r="B89" s="24"/>
      <c r="C89" s="24"/>
      <c r="D89" s="24"/>
      <c r="E89" s="24"/>
      <c r="F89" s="24"/>
      <c r="G89" s="24"/>
      <c r="H89" s="24"/>
      <c r="I89" s="24"/>
      <c r="J89" s="24"/>
      <c r="K89" s="24"/>
    </row>
    <row r="90" spans="1:11" ht="15.75" customHeight="1" x14ac:dyDescent="0.2">
      <c r="A90" s="23"/>
      <c r="B90" s="24"/>
      <c r="C90" s="24"/>
      <c r="D90" s="24"/>
      <c r="E90" s="24"/>
      <c r="F90" s="24"/>
      <c r="G90" s="24"/>
      <c r="H90" s="24"/>
      <c r="I90" s="24"/>
      <c r="J90" s="24"/>
      <c r="K90" s="24"/>
    </row>
    <row r="91" spans="1:11" ht="15.75" customHeight="1" x14ac:dyDescent="0.2">
      <c r="A91" s="23"/>
      <c r="B91" s="24"/>
      <c r="C91" s="24"/>
      <c r="D91" s="24"/>
      <c r="E91" s="24"/>
      <c r="F91" s="24"/>
      <c r="G91" s="24"/>
      <c r="H91" s="24"/>
      <c r="I91" s="24"/>
      <c r="J91" s="24"/>
      <c r="K91" s="24"/>
    </row>
    <row r="92" spans="1:11" ht="15.75" customHeight="1" x14ac:dyDescent="0.2">
      <c r="A92" s="23"/>
      <c r="B92" s="24"/>
      <c r="C92" s="24"/>
      <c r="D92" s="24"/>
      <c r="E92" s="24"/>
      <c r="F92" s="24"/>
      <c r="G92" s="24"/>
      <c r="H92" s="24"/>
      <c r="I92" s="24"/>
      <c r="J92" s="24"/>
      <c r="K92" s="24"/>
    </row>
    <row r="93" spans="1:11" ht="15.75" customHeight="1" x14ac:dyDescent="0.2">
      <c r="A93" s="23"/>
      <c r="B93" s="24"/>
      <c r="C93" s="24"/>
      <c r="D93" s="24"/>
      <c r="E93" s="24"/>
      <c r="F93" s="24"/>
      <c r="G93" s="24"/>
      <c r="H93" s="24"/>
      <c r="I93" s="24"/>
      <c r="J93" s="24"/>
      <c r="K93" s="24"/>
    </row>
    <row r="94" spans="1:11" ht="15.75" customHeight="1" x14ac:dyDescent="0.2">
      <c r="A94" s="23"/>
      <c r="B94" s="24"/>
      <c r="C94" s="24"/>
      <c r="D94" s="24"/>
      <c r="E94" s="24"/>
      <c r="F94" s="24"/>
      <c r="G94" s="24"/>
      <c r="H94" s="24"/>
      <c r="I94" s="24"/>
      <c r="J94" s="24"/>
      <c r="K94" s="24"/>
    </row>
    <row r="95" spans="1:11" ht="15.75" customHeight="1" x14ac:dyDescent="0.2">
      <c r="A95" s="23"/>
      <c r="B95" s="24"/>
      <c r="C95" s="24"/>
      <c r="D95" s="24"/>
      <c r="E95" s="24"/>
      <c r="F95" s="24"/>
      <c r="G95" s="24"/>
      <c r="H95" s="24"/>
      <c r="I95" s="24"/>
      <c r="J95" s="24"/>
      <c r="K95" s="24"/>
    </row>
    <row r="96" spans="1:11" ht="15.75" customHeight="1" x14ac:dyDescent="0.2">
      <c r="A96" s="23"/>
      <c r="B96" s="24"/>
      <c r="C96" s="24"/>
      <c r="D96" s="24"/>
      <c r="E96" s="24"/>
      <c r="F96" s="24"/>
      <c r="G96" s="24"/>
      <c r="H96" s="24"/>
      <c r="I96" s="24"/>
      <c r="J96" s="24"/>
      <c r="K96" s="24"/>
    </row>
    <row r="97" spans="1:11" ht="15.75" customHeight="1" x14ac:dyDescent="0.2">
      <c r="A97" s="23"/>
      <c r="B97" s="24"/>
      <c r="C97" s="24"/>
      <c r="D97" s="24"/>
      <c r="E97" s="24"/>
      <c r="F97" s="24"/>
      <c r="G97" s="24"/>
      <c r="H97" s="24"/>
      <c r="I97" s="24"/>
      <c r="J97" s="24"/>
      <c r="K97" s="24"/>
    </row>
    <row r="98" spans="1:11" ht="15.75" customHeight="1" x14ac:dyDescent="0.2">
      <c r="A98" s="23"/>
      <c r="B98" s="24"/>
      <c r="C98" s="24"/>
      <c r="D98" s="24"/>
      <c r="E98" s="24"/>
      <c r="F98" s="24"/>
      <c r="G98" s="24"/>
      <c r="H98" s="24"/>
      <c r="I98" s="24"/>
      <c r="J98" s="24"/>
      <c r="K98" s="24"/>
    </row>
    <row r="99" spans="1:11" ht="15.75" customHeight="1" x14ac:dyDescent="0.2">
      <c r="A99" s="23"/>
      <c r="B99" s="24"/>
      <c r="C99" s="24"/>
      <c r="D99" s="24"/>
      <c r="E99" s="24"/>
      <c r="F99" s="24"/>
      <c r="G99" s="24"/>
      <c r="H99" s="24"/>
      <c r="I99" s="24"/>
      <c r="J99" s="24"/>
      <c r="K99" s="24"/>
    </row>
    <row r="100" spans="1:11" ht="15.75" customHeight="1" x14ac:dyDescent="0.2">
      <c r="A100" s="23"/>
      <c r="B100" s="24"/>
      <c r="C100" s="24"/>
      <c r="D100" s="24"/>
      <c r="E100" s="24"/>
      <c r="F100" s="24"/>
      <c r="G100" s="24"/>
      <c r="H100" s="24"/>
      <c r="I100" s="24"/>
      <c r="J100" s="24"/>
      <c r="K100" s="24"/>
    </row>
  </sheetData>
  <dataValidations count="2">
    <dataValidation type="list" allowBlank="1" sqref="B26:K26" xr:uid="{00000000-0002-0000-0600-000000000000}">
      <formula1>"произведения науки,литературы и искусства,программы для ЭВМ,базы данных,исполнения,фонограммы,сообщение в эфир или по кабелю радио- или телепередач (вещание организаций эфирного или кабельного вещания),изобретения,полезные модели,промышленные образцы,селе"&amp;"кционные достижения,топологии интегральных микросхем,секреты производства (""ноу-хау""),фирменные наименования,товарные знаки и знаки обслуживания,наименования мест происхождения товаров,коммерческие обозначения"</formula1>
    </dataValidation>
    <dataValidation type="list" allowBlank="1" sqref="B9:K9" xr:uid="{00000000-0002-0000-0600-000001000000}">
      <formula1>"ВАК,Scopus,WoS,Conference Proceedings,Прочее"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Паспорт проекта</vt:lpstr>
      <vt:lpstr>Приложение 1. Контрольные точки</vt:lpstr>
      <vt:lpstr>Приложение 2. Ресурсы проекта</vt:lpstr>
      <vt:lpstr>Приложение 3. Рабочая группа</vt:lpstr>
      <vt:lpstr>Приложение 4. Дорожная карта</vt:lpstr>
      <vt:lpstr>Приложение 5. Смета</vt:lpstr>
      <vt:lpstr>Дополнительные результаты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Start</dc:creator>
  <cp:lastModifiedBy>Ринат Сурманов</cp:lastModifiedBy>
  <dcterms:created xsi:type="dcterms:W3CDTF">2025-10-22T17:31:46Z</dcterms:created>
  <dcterms:modified xsi:type="dcterms:W3CDTF">2026-09-21T09:51:51Z</dcterms:modified>
</cp:coreProperties>
</file>